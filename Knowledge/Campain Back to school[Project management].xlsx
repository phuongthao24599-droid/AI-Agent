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meline" sheetId="2" r:id="rId5"/>
    <sheet name="Tagline &amp; Message" sheetId="3" r:id="rId6"/>
    <sheet name="KV note And Check" sheetId="4" r:id="rId7"/>
    <sheet name="Road map" sheetId="5" r:id="rId8"/>
    <sheet name="Action Plan" sheetId="6" r:id="rId9"/>
    <sheet name="Promotion" sheetId="7" r:id="rId10"/>
    <sheet name="Danh Photoshoot sách quà tặng" sheetId="8" r:id="rId11"/>
    <sheet name="Ngân sách " sheetId="9" r:id="rId1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<sst xmlns="http://schemas.openxmlformats.org/spreadsheetml/2006/main" count="406" uniqueCount="406">
  <si>
    <t xml:space="preserve">  </t>
  </si>
  <si>
    <t xml:space="preserve">Thời gian dự kiến</t>
  </si>
  <si>
    <t xml:space="preserve"> Thời gian truyền thông:</t>
  </si>
  <si>
    <t xml:space="preserve">27/07/2026</t>
  </si>
  <si>
    <t xml:space="preserve"> Thời gian áp dụng CTKM: </t>
  </si>
  <si>
    <t xml:space="preserve"> Kênh</t>
  </si>
  <si>
    <t xml:space="preserve">Cửa hàng </t>
  </si>
  <si>
    <t xml:space="preserve">website </t>
  </si>
  <si>
    <t xml:space="preserve">Facebook </t>
  </si>
  <si>
    <t xml:space="preserve">TikTok </t>
  </si>
  <si>
    <t xml:space="preserve">Instagram </t>
  </si>
  <si>
    <t xml:space="preserve">Zalo OA </t>
  </si>
  <si>
    <t xml:space="preserve">CSKH </t>
  </si>
  <si>
    <t xml:space="preserve">Google Ads </t>
  </si>
  <si>
    <t xml:space="preserve">Meta Ads</t>
  </si>
  <si>
    <t xml:space="preserve">TikTok Ads</t>
  </si>
  <si>
    <t xml:space="preserve">Thành phần </t>
  </si>
  <si>
    <t xml:space="preserve">Nội dung</t>
  </si>
  <si>
    <t xml:space="preserve">Ý nghĩa</t>
  </si>
  <si>
    <t xml:space="preserve">Tagline</t>
  </si>
  <si>
    <t xml:space="preserve">NĂM HỌC MỚI, TẦM NHÌN MỚI</t>
  </si>
  <si>
    <t/>
    <r>
      <rPr>
        <b val="true"/>
        <i val="false"/>
        <strike val="false"/>
        <sz val="10"/>
        <color/>
      </rPr>
      <t xml:space="preserve">Tầm nhìn mới” đồng thời thể hiện:
</t>
    </r>
    <r>
      <rPr>
        <b val="false"/>
        <i val="false"/>
        <strike val="false"/>
        <sz val="10"/>
        <color/>
      </rPr>
      <t xml:space="preserve">Nhìn rõ hơn với kính mới
Hình ảnh, phong cách mới
Sẵn sàng cho một năm học mới
Sự đầu tư của phụ huynh cho thị lực và tương lai của con
</t>
    </r>
  </si>
  <si>
    <t xml:space="preserve">ĐỦ CHUẨN ĐẾN TRƯỜNG — GIÁ CHỈ 499K</t>
  </si>
  <si>
    <t xml:space="preserve">Message</t>
  </si>
  <si>
    <t xml:space="preserve">Mẫu câu</t>
  </si>
  <si>
    <t xml:space="preserve">Title Có thể triển khai </t>
  </si>
  <si>
    <t xml:space="preserve">Kính học đường từ 499.000đ</t>
  </si>
  <si>
    <t xml:space="preserve">Kính mới đủ dùng, học đường đủ chất</t>
  </si>
  <si>
    <t xml:space="preserve">Nhìn rõ mỗi ngày, :nhẹ" ngay chi phí</t>
  </si>
  <si>
    <t/>
    <r>
      <rPr>
        <b val="false"/>
        <i val="false"/>
        <strike val="false"/>
        <sz val="10"/>
        <color/>
      </rPr>
      <t xml:space="preserve">- Khởi đầu năm học chỉ từ </t>
    </r>
    <r>
      <rPr>
        <b val="true"/>
        <i val="false"/>
        <strike val="false"/>
        <sz val="10"/>
        <color/>
      </rPr>
      <t>499K</t>
    </r>
  </si>
  <si>
    <t xml:space="preserve">- Bộ kính chuẩn học đường, giá thật dễ dàng</t>
  </si>
  <si>
    <t xml:space="preserve">CTA</t>
  </si>
  <si>
    <t xml:space="preserve">Loại CTA, Khan Hiếm về Số lượng, Khan Hiếm về Thời Gian.</t>
  </si>
  <si>
    <t xml:space="preserve">Chỉ Trong Tháng 8 Này, Số lượng có hạn</t>
  </si>
  <si>
    <t xml:space="preserve">Lợi Ích về Lựa chọn </t>
  </si>
  <si>
    <t xml:space="preserve">Chọn Combo Tiết Kiệm</t>
  </si>
  <si>
    <t xml:space="preserve">3.2. Combo Kính Học Đường Bảo Vệ Mắt — 800K</t>
  </si>
  <si>
    <t xml:space="preserve">NÂNG TẦM PHONG CÁCH — NÂNG CẤP TẦM NHÌN</t>
  </si>
  <si>
    <t xml:space="preserve">- Kính đẹp có gu, bảo vệ mắt có chuẩn</t>
  </si>
  <si>
    <t xml:space="preserve">- Phong cách nổi bật, tầm nhìn khác biệt</t>
  </si>
  <si>
    <t xml:space="preserve">- Đầu tư xứng đáng cho năm học mới</t>
  </si>
  <si>
    <t xml:space="preserve">- Chất từ gọng, chuẩn từ tròng</t>
  </si>
  <si>
    <t xml:space="preserve">3.3. Combo Kính Học Đường Cao Cấp — 1.200K</t>
  </si>
  <si>
    <t xml:space="preserve">Chi tiết</t>
  </si>
  <si>
    <t xml:space="preserve">Học sinh, sinh viên</t>
  </si>
  <si>
    <t xml:space="preserve">Kính đẹp đúng gu, tự tin đến lớp. Combo học đường từ 499.000đ, giảm thêm 5% dành cho học sinh, sinh viên.</t>
  </si>
  <si>
    <t xml:space="preserve">Phụ huynh</t>
  </si>
  <si>
    <t xml:space="preserve">Chuẩn bị thị lực tốt cho năm học mới với combo kính rõ ràng về sản phẩm, giá và chính sách bảo hành.</t>
  </si>
  <si>
    <t xml:space="preserve">Khách hàng cũ</t>
  </si>
  <si>
    <t xml:space="preserve">Đổi kính mới cho năm học mới, nhận thêm ưu đãi Thu cũ đổi mới và nhiều chương trình dành riêng trong tháng 8.</t>
  </si>
  <si>
    <t xml:space="preserve">Khách có hóa đơn cao</t>
  </si>
  <si>
    <t xml:space="preserve">Mua sắm từ 1.500.000đ, tham gia Lucky Spin và nhận quà trực tiếp tại cửa hàng.</t>
  </si>
  <si>
    <t xml:space="preserve">THÔNG ĐIỆP THEO TỪNG NHÓM KHÁCH HÀNG</t>
  </si>
  <si>
    <t xml:space="preserve">HỆ THỐNG THÔNG ĐIỆP CHỐT</t>
  </si>
  <si>
    <t xml:space="preserve">Big Idea</t>
  </si>
  <si>
    <t xml:space="preserve">Sales headline</t>
  </si>
  <si>
    <t xml:space="preserve">Product promise</t>
  </si>
  <si>
    <t xml:space="preserve">Kính đẹp đúng gu — Thị lực đúng chuẩn</t>
  </si>
  <si>
    <t xml:space="preserve">HANVIS message</t>
  </si>
  <si>
    <t xml:space="preserve">Dẻo bền đồng hành cả năm học</t>
  </si>
  <si>
    <t xml:space="preserve">Game message</t>
  </si>
  <si>
    <t xml:space="preserve">Tinh mắt vượt thử thách — Săn sao đổi quà</t>
  </si>
  <si>
    <t xml:space="preserve">Referral message</t>
  </si>
  <si>
    <t xml:space="preserve">Rủ bạn mua kính — Tích sao đổi quà</t>
  </si>
  <si>
    <t xml:space="preserve">Lucky Spin message</t>
  </si>
  <si>
    <t xml:space="preserve">Mua sắm từ 1,5 triệu — Quay liền, nhận quà ngay</t>
  </si>
  <si>
    <t xml:space="preserve">Student message</t>
  </si>
  <si>
    <t xml:space="preserve">Có thẻ học sinh, sinh viên — Có thêm ưu đãi 5%</t>
  </si>
  <si>
    <t xml:space="preserve">Booking message</t>
  </si>
  <si>
    <t xml:space="preserve">Đặt hẹn trước — Nhận ngay voucher 50K</t>
  </si>
  <si>
    <t xml:space="preserve">NGUYÊN TẮC SỬ DỤNG copywrite</t>
  </si>
  <si>
    <t xml:space="preserve">KV chính</t>
  </si>
  <si>
    <t xml:space="preserve">Chỉ tập trung Big Idea, giá từ 499K và tối đa 3 lợi ích nổi bật</t>
  </si>
  <si>
    <t xml:space="preserve">Promotion</t>
  </si>
  <si>
    <t xml:space="preserve">Mỗi bài promotion chỉ nên có một ưu đãi chính</t>
  </si>
  <si>
    <t xml:space="preserve">Game &amp; Lucky Spin</t>
  </si>
  <si>
    <t xml:space="preserve">Không đặt Game Mắt Tinh và Lucky Spin thành cùng một cơ chế</t>
  </si>
  <si>
    <t xml:space="preserve">Mắt Tinh</t>
  </si>
  <si>
    <t xml:space="preserve">Dùng các từ: chơi, nhận voucher, tích sao, đổi quà</t>
  </si>
  <si>
    <t xml:space="preserve">Lucky Spin</t>
  </si>
  <si>
    <t xml:space="preserve">Dùng các từ: hóa đơn hợp lệ, lượt quay, nhận quà tại cửa hàng</t>
  </si>
  <si>
    <t xml:space="preserve">Cấm dùng</t>
  </si>
  <si>
    <t xml:space="preserve">Không dùng "100% trúng" nếu thể lệ chưa xác nhận; Không dùng "quà không giới hạn"</t>
  </si>
  <si>
    <t xml:space="preserve">Điều kiện</t>
  </si>
  <si>
    <t xml:space="preserve">Luôn thêm "theo điều kiện chương trình" đối với bảo hành, voucher, đổi quà và Lucky Spin</t>
  </si>
  <si>
    <t xml:space="preserve">Check</t>
  </si>
  <si>
    <t xml:space="preserve">PHƯƠNG ÁN COPY CHÍNH CHO KEY VISUAL</t>
  </si>
  <si>
    <t xml:space="preserve">BACK TO SCHOOL 2026</t>
  </si>
  <si>
    <t xml:space="preserve">NĂM HỌC MỚI, TẦM NHÌN MỚI</t>
  </si>
  <si>
    <t xml:space="preserve">KÍNH HỌC ĐƯỜNG TỪ 499.000Đ</t>
  </si>
  <si>
    <t xml:space="preserve">Kính đẹp đúng gu — Thị lực đúng chuẩn</t>
  </si>
  <si>
    <t xml:space="preserve">HS/SV giảm thêm 5% · Đo mắt miễn phí</t>
  </si>
  <si>
    <t xml:space="preserve">Chơi Mắt Tinh săn voucher · Hóa đơn từ 1,5 triệu được quay Lucky Spin</t>
  </si>
  <si>
    <t xml:space="preserve">06/08/2026 – 06/09/2026</t>
  </si>
  <si>
    <t xml:space="preserve">PHƯƠNG ÁN COPY NGẮN CHO SOCIAL/ADS</t>
  </si>
  <si>
    <t xml:space="preserve">Năm học mới, tầm nhìn mới</t>
  </si>
  <si>
    <t xml:space="preserve">Combo kính học đường từ 499.000đ</t>
  </si>
  <si>
    <t xml:space="preserve">Giảm thêm 5%</t>
  </si>
  <si>
    <t xml:space="preserve">Chơi Mắt Tinh nhận voucher</t>
  </si>
  <si>
    <t xml:space="preserve">Mua sắm từ 1,5 triệu được quay Lucky Spin nhận quà ngay tại cửa hàng</t>
  </si>
  <si>
    <t xml:space="preserve">Đo mắt miễn phí tại toàn bộ hệ thống Mắt Kính Tâm Đức</t>
  </si>
  <si>
    <t xml:space="preserve">Roadmap</t>
  </si>
  <si>
    <t xml:space="preserve">Ponit</t>
  </si>
  <si>
    <t xml:space="preserve">Date</t>
  </si>
  <si>
    <t xml:space="preserve"> Launch campaign</t>
  </si>
  <si>
    <t xml:space="preserve"> Nhắc giữa chương trình</t>
  </si>
  <si>
    <t xml:space="preserve"> Countdown 7 ngày</t>
  </si>
  <si>
    <t xml:space="preserve"> Countdown 3 ngày</t>
  </si>
  <si>
    <t xml:space="preserve"> Ngày kết thúc</t>
  </si>
  <si>
    <t xml:space="preserve"> Ngày báo cáo tổng kết</t>
  </si>
  <si>
    <t/>
    <r>
      <rPr>
        <u val="single"/>
        <color theme="10"/>
      </rPr>
      <t xml:space="preserve">@MKT - Hoàng Linh</t>
    </r>
  </si>
  <si>
    <t/>
    <r>
      <rPr>
        <u val="single"/>
        <color theme="10"/>
      </rPr>
      <t xml:space="preserve">@MKT - Phương Giao</t>
    </r>
  </si>
  <si>
    <t/>
    <r>
      <rPr>
        <u val="single"/>
        <color theme="10"/>
      </rPr>
      <t xml:space="preserve">@MKT - Vi Bằng</t>
    </r>
  </si>
  <si>
    <t/>
    <r>
      <rPr>
        <u val="single"/>
        <color theme="10"/>
      </rPr>
      <t xml:space="preserve">@MKT - Tường Nghi</t>
    </r>
  </si>
  <si>
    <t/>
    <r>
      <rPr>
        <u val="single"/>
        <color theme="10"/>
      </rPr>
      <t xml:space="preserve">@MKT - Quốc Duy (Manager)</t>
    </r>
  </si>
  <si>
    <t xml:space="preserve">Tổng số lượng công việc</t>
  </si>
  <si>
    <t xml:space="preserve">Số lượng công việc hoàn thành </t>
  </si>
  <si>
    <t xml:space="preserve">Số lượng công việc Đang làm </t>
  </si>
  <si>
    <t xml:space="preserve">Số lượng công việc Đợi duyệt</t>
  </si>
  <si>
    <t xml:space="preserve">Số lượng công việc Chưa làm </t>
  </si>
  <si>
    <t xml:space="preserve">STT</t>
  </si>
  <si>
    <t xml:space="preserve">Công việc</t>
  </si>
  <si>
    <t xml:space="preserve">Mô tả</t>
  </si>
  <si>
    <t xml:space="preserve">Định dạng</t>
  </si>
  <si>
    <t xml:space="preserve">PIC </t>
  </si>
  <si>
    <t xml:space="preserve">Time to Lauch</t>
  </si>
  <si>
    <t xml:space="preserve">THỨ</t>
  </si>
  <si>
    <t xml:space="preserve">Deadline</t>
  </si>
  <si>
    <t xml:space="preserve">Trạng thái </t>
  </si>
  <si>
    <t xml:space="preserve">Mô tả chương trình điều kiện tham gia hương trìn :"ƯU ĐÃI HỌC SINH, SINH VIÊN"</t>
  </si>
  <si>
    <t xml:space="preserve">Chuẩn bị các nội dung như: 
Cách thể hiện trên KV
Điều kiện xác minh
Nội dung disclaimer
FAQ cho CSKH
Nội dung hướng dẫn tại cửa hàng
Điều kiện áp dụng chi tiết và stacking rule sẽ được chốt riêng.
Cho đến khi có stacking rule, không tự cam kết việc cộng 5% với toàn bộ voucher và CTKM khác.</t>
  </si>
  <si>
    <t xml:space="preserve">Infomation</t>
  </si>
  <si>
    <t/>
    <r>
      <rPr>
        <u val="single"/>
        <color theme="10"/>
      </rPr>
      <t xml:space="preserve">@MKT - Tường Nghi</t>
    </r>
    <r>
      <rPr>
        <u val="single"/>
        <color theme="10"/>
      </rPr>
      <t xml:space="preserve">@MKT - Quốc Duy (Manager)</t>
    </r>
  </si>
  <si>
    <t xml:space="preserve">Kế hoạch</t>
  </si>
  <si>
    <t xml:space="preserve">Chụp hình sản phẩm quà tặng </t>
  </si>
  <si>
    <t/>
    <r>
      <rPr/>
      <t xml:space="preserve">File Brief Năm trong link :"</t>
    </r>
    <r>
      <rPr>
        <u val="single"/>
        <color theme="10"/>
      </rPr>
      <t xml:space="preserve">BRIEF MEDIA SHOOTING QUÀ TẶNG</t>
    </r>
    <r>
      <rPr/>
      <t xml:space="preserve"> "</t>
    </r>
    <r>
      <rPr/>
      <t xml:space="preserve">
</t>
    </r>
    <r>
      <rPr/>
      <t xml:space="preserve">Và checklist quà tặng cần chụp nằm ở</t>
    </r>
  </si>
  <si>
    <t xml:space="preserve">Shooting</t>
  </si>
  <si>
    <t/>
    <r>
      <rPr>
        <u val="single"/>
        <color theme="10"/>
      </rPr>
      <t xml:space="preserve">@MKT - Vi Bằng</t>
    </r>
    <r>
      <rPr/>
      <t xml:space="preserve"> </t>
    </r>
    <r>
      <rPr>
        <u val="single"/>
        <color theme="10"/>
      </rPr>
      <t xml:space="preserve">@MKT - Tường Nghi</t>
    </r>
    <r>
      <rPr/>
      <t xml:space="preserve"> </t>
    </r>
    <r>
      <rPr>
        <u val="single"/>
        <color theme="10"/>
      </rPr>
      <t xml:space="preserve">@MKT - Quốc Duy (Manager)</t>
    </r>
  </si>
  <si>
    <t xml:space="preserve">Hoàn thành </t>
  </si>
  <si>
    <t xml:space="preserve">Retouch Chỉnh sửa hình ảnh đã chụp</t>
  </si>
  <si>
    <t/>
    <r>
      <rPr/>
      <t xml:space="preserve">Cập nhật File trong Phần </t>
    </r>
    <r>
      <rPr>
        <u val="single"/>
        <color theme="10"/>
      </rPr>
      <t xml:space="preserve">Danh Photoshoot sách quà tặng</t>
    </r>
  </si>
  <si>
    <t xml:space="preserve">Retouch</t>
  </si>
  <si>
    <t/>
    <r>
      <rPr>
        <u val="single"/>
        <color theme="10"/>
      </rPr>
      <t xml:space="preserve">@MKT - Vi Bằng</t>
    </r>
    <r>
      <rPr/>
      <t xml:space="preserve"> </t>
    </r>
    <r>
      <rPr>
        <u val="single"/>
        <color theme="10"/>
      </rPr>
      <t xml:space="preserve">@MKT - Quốc Duy (Manager)</t>
    </r>
  </si>
  <si>
    <t xml:space="preserve">Đang Làm</t>
  </si>
  <si>
    <t xml:space="preserve">Key Virual cho Campain</t>
  </si>
  <si>
    <t/>
    <r>
      <rPr>
        <b val="false"/>
        <i val="false"/>
        <strike val="false"/>
        <sz val="10"/>
        <color/>
      </rPr>
      <t xml:space="preserve">Key Visual chính
KV chính chỉ nên tập trung:
Back To School 2026
</t>
    </r>
    <r>
      <rPr>
        <b val="true"/>
        <i val="false"/>
        <strike val="false"/>
        <sz val="10"/>
        <color/>
      </rPr>
      <t xml:space="preserve">Kính học đường từ 499.000đ
</t>
    </r>
    <r>
      <rPr>
        <b val="false"/>
        <i val="false"/>
        <strike val="false"/>
        <sz val="10"/>
        <color/>
      </rPr>
      <t xml:space="preserve">Học sinh, sinh viên giảm thêm 5%
Chơi Mắt Tinh, nhận voucher và tích sao
Hóa đơn từ 1,5 triệu được quay Lucky Spin
Đo mắt miễn phí
Thời gian chương trình
CTA
Không đưa toàn bộ bảng khuyến mãi chung lên KV chính.</t>
    </r>
  </si>
  <si>
    <t xml:space="preserve">Design</t>
  </si>
  <si>
    <t/>
    <r>
      <rPr>
        <u val="single"/>
        <color theme="10"/>
      </rPr>
      <t xml:space="preserve">@MKT - Phương Giao</t>
    </r>
  </si>
  <si>
    <t xml:space="preserve">Website banner desktop Chương trình</t>
  </si>
  <si>
    <t xml:space="preserve">Nội dung giống với KV chính resize lại tiếp kiện thời gian</t>
  </si>
  <si>
    <t/>
    <r>
      <rPr>
        <u val="single"/>
        <color theme="10"/>
      </rPr>
      <t xml:space="preserve">@MKT - Phương Giao</t>
    </r>
  </si>
  <si>
    <t xml:space="preserve">Website banner mobile</t>
  </si>
  <si>
    <t/>
    <r>
      <rPr>
        <u val="single"/>
        <color theme="10"/>
      </rPr>
      <t xml:space="preserve">@MKT - Phương Giao</t>
    </r>
  </si>
  <si>
    <t xml:space="preserve">Cover Trên Facebook</t>
  </si>
  <si>
    <t/>
    <r>
      <rPr>
        <u val="single"/>
        <color theme="10"/>
      </rPr>
      <t xml:space="preserve">@MKT - Phương Giao</t>
    </r>
  </si>
  <si>
    <t xml:space="preserve">cover Zalo OA </t>
  </si>
  <si>
    <t/>
    <r>
      <rPr>
        <u val="single"/>
        <color theme="10"/>
      </rPr>
      <t xml:space="preserve">@MKT - Phương Giao</t>
    </r>
  </si>
  <si>
    <t xml:space="preserve">Ads Material Google ads GDN</t>
  </si>
  <si>
    <t/>
    <r>
      <rPr>
        <u val="single"/>
        <color theme="10"/>
      </rPr>
      <t xml:space="preserve">@MKT - Hoàng Linh</t>
    </r>
  </si>
  <si>
    <t xml:space="preserve">Thiết kế Tentcard</t>
  </si>
  <si>
    <t/>
    <r>
      <rPr>
        <b val="false"/>
        <i val="false"/>
        <strike val="false"/>
        <sz val="10"/>
        <color/>
      </rPr>
      <t xml:space="preserve">Key Visual chính
KV chính chỉ nên tập trung:
Back To School 2026
</t>
    </r>
    <r>
      <rPr>
        <b val="true"/>
        <i val="false"/>
        <strike val="false"/>
        <sz val="10"/>
        <color/>
      </rPr>
      <t xml:space="preserve">Kính học đường từ 499.000đ
</t>
    </r>
    <r>
      <rPr>
        <b val="false"/>
        <i val="false"/>
        <strike val="false"/>
        <sz val="10"/>
        <color/>
      </rPr>
      <t xml:space="preserve">Học sinh, sinh viên giảm thêm 5%
Chơi Mắt Tinh, nhận voucher và tích sao
Hóa đơn từ 1,5 triệu được quay Lucky Spin
Đo mắt miễn phí
Thời gian chương trình
CTA
Không đưa toàn bộ bảng khuyến mãi chung lên KV chính.</t>
    </r>
  </si>
  <si>
    <t/>
    <r>
      <rPr>
        <u val="single"/>
        <color theme="10"/>
      </rPr>
      <t xml:space="preserve">@MKT - Phương Giao</t>
    </r>
  </si>
  <si>
    <t xml:space="preserve">Thiết kế Poster cửa dán kính</t>
  </si>
  <si>
    <t/>
    <r>
      <rPr>
        <u val="single"/>
        <color theme="10"/>
      </rPr>
      <t xml:space="preserve">@MKT - Phương Giao</t>
    </r>
  </si>
  <si>
    <t xml:space="preserve">In ấn POSM</t>
  </si>
  <si>
    <t xml:space="preserve">Vận Hành</t>
  </si>
  <si>
    <t xml:space="preserve">Vận hành/Anh Hòa</t>
  </si>
  <si>
    <t xml:space="preserve">Tài liệu hướng dẫn Chương trình </t>
  </si>
  <si>
    <t/>
    <r>
      <rPr/>
      <t xml:space="preserve">Vận hành </t>
    </r>
    <r>
      <rPr>
        <u val="single"/>
        <color theme="10"/>
      </rPr>
      <t xml:space="preserve">@MKT - Quốc Duy (Manager)</t>
    </r>
  </si>
  <si>
    <t xml:space="preserve">Bài Thông báo Chương trình back to school</t>
  </si>
  <si>
    <t xml:space="preserve">Sử dụng nội dung chỉnh trên KV chính 
KV chính chỉ nên tập trung:
Back To School 2026
Kính học đường từ 499.000đ
Học sinh, sinh viên giảm thêm 5%
Chơi Mắt Tinh, nhận voucher và tích sao
Hóa đơn từ 1,5 triệu được quay Lucky Spin
Đo mắt miễn phí
Thời gian chương trình
CTA
Không đưa toàn bộ bảng khuyến mãi chung lên KV chính.</t>
  </si>
  <si>
    <t xml:space="preserve">Content,Design,Ads</t>
  </si>
  <si>
    <t/>
    <r>
      <rPr>
        <u val="single"/>
        <color theme="10"/>
      </rPr>
      <t xml:space="preserve">@MKT - Tường Nghi</t>
    </r>
    <r>
      <rPr>
        <u val="single"/>
        <color theme="10"/>
      </rPr>
      <t xml:space="preserve">@MKT - Phương Giao</t>
    </r>
    <r>
      <rPr/>
      <t xml:space="preserve">
</t>
    </r>
    <r>
      <rPr/>
      <t xml:space="preserve">Post tương tự CTKM Tháng</t>
    </r>
  </si>
  <si>
    <t xml:space="preserve">Videos Thông báo Về chương trình Đang diên ra</t>
  </si>
  <si>
    <t xml:space="preserve">Sử dụng thông tin Khuyến mãi trong KV</t>
  </si>
  <si>
    <t xml:space="preserve">Content,Short Videos</t>
  </si>
  <si>
    <t/>
    <r>
      <rPr>
        <u val="single"/>
        <color theme="10"/>
      </rPr>
      <t xml:space="preserve">@MKT - Tường Nghi</t>
    </r>
    <r>
      <rPr>
        <u val="single"/>
        <color theme="10"/>
      </rPr>
      <t xml:space="preserve">@MKT - Vi Bằng</t>
    </r>
  </si>
  <si>
    <t xml:space="preserve">Bài viết Combo 499K</t>
  </si>
  <si>
    <t xml:space="preserve">Sử dụng cùng KV có thể resize đổi nội dung</t>
  </si>
  <si>
    <t/>
    <r>
      <rPr>
        <u val="single"/>
        <color theme="10"/>
      </rPr>
      <t xml:space="preserve">@MKT - Tường Nghi</t>
    </r>
    <r>
      <rPr>
        <u val="single"/>
        <color theme="10"/>
      </rPr>
      <t xml:space="preserve">@MKT - Phương Giao</t>
    </r>
  </si>
  <si>
    <t xml:space="preserve">Bài viết Combo 800K</t>
  </si>
  <si>
    <t/>
    <r>
      <rPr>
        <u val="single"/>
        <color theme="10"/>
      </rPr>
      <t xml:space="preserve">@MKT - Tường Nghi</t>
    </r>
    <r>
      <rPr>
        <u val="single"/>
        <color theme="10"/>
      </rPr>
      <t xml:space="preserve">@MKT - Phương Giao</t>
    </r>
  </si>
  <si>
    <t xml:space="preserve">Bài viết Combo 1.200K</t>
  </si>
  <si>
    <t/>
    <r>
      <rPr>
        <u val="single"/>
        <color theme="10"/>
      </rPr>
      <t xml:space="preserve">@MKT - Tường Nghi</t>
    </r>
    <r>
      <rPr>
        <u val="single"/>
        <color theme="10"/>
      </rPr>
      <t xml:space="preserve">@MKT - Phương Giao</t>
    </r>
  </si>
  <si>
    <t xml:space="preserve">Học sinh, sinh viên giảm thêm 5%</t>
  </si>
  <si>
    <t/>
    <r>
      <rPr>
        <u val="single"/>
        <color theme="10"/>
      </rPr>
      <t xml:space="preserve">@MKT - Tường Nghi</t>
    </r>
    <r>
      <rPr>
        <u val="single"/>
        <color theme="10"/>
      </rPr>
      <t xml:space="preserve">@MKT - Phương Giao</t>
    </r>
  </si>
  <si>
    <t xml:space="preserve">HANVIS Made in Korea</t>
  </si>
  <si>
    <t/>
    <r>
      <rPr>
        <u val="single"/>
        <color theme="10"/>
      </rPr>
      <t xml:space="preserve">@MKT - Tường Nghi</t>
    </r>
    <r>
      <rPr>
        <u val="single"/>
        <color theme="10"/>
      </rPr>
      <t xml:space="preserve">@MKT - Vi Bằng</t>
    </r>
  </si>
  <si>
    <t xml:space="preserve">HANVIS nhựa siêu dẻo</t>
  </si>
  <si>
    <t/>
    <r>
      <rPr>
        <u val="single"/>
        <color theme="10"/>
      </rPr>
      <t xml:space="preserve">@MKT - Tường Nghi</t>
    </r>
    <r>
      <rPr>
        <u val="single"/>
        <color theme="10"/>
      </rPr>
      <t xml:space="preserve">@MKT - Vi Bằng</t>
    </r>
  </si>
  <si>
    <t xml:space="preserve">Bảo hành HANVIS</t>
  </si>
  <si>
    <t xml:space="preserve">Content,Design</t>
  </si>
  <si>
    <t/>
    <r>
      <rPr>
        <u val="single"/>
        <color theme="10"/>
      </rPr>
      <t xml:space="preserve">@MKT - Tường Nghi</t>
    </r>
    <r>
      <rPr>
        <u val="single"/>
        <color theme="10"/>
      </rPr>
      <t xml:space="preserve">@MKT - Phương Giao</t>
    </r>
  </si>
  <si>
    <t xml:space="preserve">Tròng Ecolite UV400</t>
  </si>
  <si>
    <t/>
    <r>
      <rPr>
        <u val="single"/>
        <color theme="10"/>
      </rPr>
      <t xml:space="preserve">@MKT - Tường Nghi</t>
    </r>
    <r>
      <rPr>
        <u val="single"/>
        <color theme="10"/>
      </rPr>
      <t xml:space="preserve">@MKT - Vi Bằng</t>
    </r>
  </si>
  <si>
    <t xml:space="preserve">Tròng Chemi U6 1.60</t>
  </si>
  <si>
    <t/>
    <r>
      <rPr>
        <u val="single"/>
        <color theme="10"/>
      </rPr>
      <t xml:space="preserve">@MKT - Tường Nghi</t>
    </r>
    <r>
      <rPr>
        <u val="single"/>
        <color theme="10"/>
      </rPr>
      <t xml:space="preserve">@MKT - Phương Giao</t>
    </r>
  </si>
  <si>
    <t xml:space="preserve">Tròng KODAK UV Blue</t>
  </si>
  <si>
    <t/>
    <r>
      <rPr>
        <u val="single"/>
        <color theme="10"/>
      </rPr>
      <t xml:space="preserve">@MKT - Tường Nghi</t>
    </r>
    <r>
      <rPr>
        <u val="single"/>
        <color theme="10"/>
      </rPr>
      <t xml:space="preserve">@MKT - Phương Giao</t>
    </r>
  </si>
  <si>
    <t xml:space="preserve">Lucky Spin Tại Cửa Hàng</t>
  </si>
  <si>
    <t xml:space="preserve">1 Hình chạy AWARENESS.
Hóa đơn từ 1.500.000đ nhận 1 lượt quay Lucky Spin 100% trúng Nón bảo hiểm, Áo mưa, Sổ tay, Kê ĐT, Áo thun thương hiệu Mắt Kính Tâm Đức.</t>
  </si>
  <si>
    <t xml:space="preserve">Ads</t>
  </si>
  <si>
    <t/>
    <r>
      <rPr>
        <u val="single"/>
        <color theme="10"/>
      </rPr>
      <t xml:space="preserve">@MKT - Tường Nghi</t>
    </r>
    <r>
      <rPr>
        <u val="single"/>
        <color theme="10"/>
      </rPr>
      <t xml:space="preserve">@MKT - Phương Giao</t>
    </r>
  </si>
  <si>
    <t xml:space="preserve">Gamification 'Mắt Tinh'</t>
  </si>
  <si>
    <t xml:space="preserve">1 Hình chạy traffic.
Chơi Game Mắt Tinh nhận voucher 20k-100k, tích sao và rủ bạn bè (referral) nhận quà vật lý. Tăng booking đo mắt miễn phí tại cửa hàng.</t>
  </si>
  <si>
    <t/>
    <r>
      <rPr>
        <u val="single"/>
        <color theme="10"/>
      </rPr>
      <t xml:space="preserve">@MKT - Tường Nghi</t>
    </r>
    <r>
      <rPr>
        <u val="single"/>
        <color theme="10"/>
      </rPr>
      <t xml:space="preserve">@MKT - Phương Giao</t>
    </r>
  </si>
  <si>
    <t xml:space="preserve">Hướng dẫn game Mắt Tinh</t>
  </si>
  <si>
    <t/>
    <r>
      <rPr>
        <u val="single"/>
        <color theme="10"/>
      </rPr>
      <t xml:space="preserve">@MKT - Tường Nghi</t>
    </r>
    <r>
      <rPr>
        <u val="single"/>
        <color theme="10"/>
      </rPr>
      <t xml:space="preserve">@MKT - Vi Bằng</t>
    </r>
  </si>
  <si>
    <t xml:space="preserve">Hướng dẫn nhận voucher</t>
  </si>
  <si>
    <t/>
    <r>
      <rPr>
        <u val="single"/>
        <color theme="10"/>
      </rPr>
      <t xml:space="preserve">@MKT - Tường Nghi</t>
    </r>
    <r>
      <rPr>
        <u val="single"/>
        <color theme="10"/>
      </rPr>
      <t xml:space="preserve">@MKT - Vi Bằng</t>
    </r>
  </si>
  <si>
    <t xml:space="preserve">Hướng dẫn tích sao</t>
  </si>
  <si>
    <t/>
    <r>
      <rPr>
        <u val="single"/>
        <color theme="10"/>
      </rPr>
      <t xml:space="preserve">@MKT - Tường Nghi</t>
    </r>
    <r>
      <rPr>
        <u val="single"/>
        <color theme="10"/>
      </rPr>
      <t xml:space="preserve">@MKT - Vi Bằng</t>
    </r>
  </si>
  <si>
    <t xml:space="preserve">Điều kiện đổi quà vật lý</t>
  </si>
  <si>
    <t/>
    <r>
      <rPr>
        <u val="single"/>
        <color theme="10"/>
      </rPr>
      <t xml:space="preserve">@MKT - Tường Nghi</t>
    </r>
    <r>
      <rPr>
        <u val="single"/>
        <color theme="10"/>
      </rPr>
      <t xml:space="preserve">@MKT - Vi Bằng</t>
    </r>
  </si>
  <si>
    <t xml:space="preserve">Danh sách quà Mắt Tinh Bài Viết nhắc lại về Chường trình Mắt Tinh nhưng Theo hướng quà tặng</t>
  </si>
  <si>
    <t/>
    <r>
      <rPr>
        <u val="single"/>
        <color theme="10"/>
      </rPr>
      <t xml:space="preserve">@MKT - Tường Nghi</t>
    </r>
    <r>
      <rPr>
        <u val="single"/>
        <color theme="10"/>
      </rPr>
      <t xml:space="preserve">@MKT - Phương Giao</t>
    </r>
  </si>
  <si>
    <t xml:space="preserve">Hướng dẫn Lucky Spin</t>
  </si>
  <si>
    <t/>
    <r>
      <rPr>
        <u val="single"/>
        <color theme="10"/>
      </rPr>
      <t xml:space="preserve">@MKT - Tường Nghi</t>
    </r>
    <r>
      <rPr>
        <u val="single"/>
        <color theme="10"/>
      </rPr>
      <t xml:space="preserve">@MKT - Vi Bằng</t>
    </r>
  </si>
  <si>
    <t xml:space="preserve">Danh sách quà Lucky Spin</t>
  </si>
  <si>
    <t/>
    <r>
      <rPr>
        <u val="single"/>
        <color theme="10"/>
      </rPr>
      <t xml:space="preserve">@MKT - Tường Nghi</t>
    </r>
    <r>
      <rPr>
        <u val="single"/>
        <color theme="10"/>
      </rPr>
      <t xml:space="preserve">@MKT - Phương Giao</t>
    </r>
  </si>
  <si>
    <t xml:space="preserve">Quy trình quay tại cửa hàng</t>
  </si>
  <si>
    <t/>
    <r>
      <rPr>
        <u val="single"/>
        <color theme="10"/>
      </rPr>
      <t xml:space="preserve">@MKT - Tường Nghi</t>
    </r>
    <r>
      <rPr>
        <u val="single"/>
        <color theme="10"/>
      </rPr>
      <t xml:space="preserve">@MKT - Phương Giao</t>
    </r>
  </si>
  <si>
    <t xml:space="preserve">Đo mắt miễn phí</t>
  </si>
  <si>
    <t xml:space="preserve">Bài bình thường</t>
  </si>
  <si>
    <t/>
    <r>
      <rPr>
        <u val="single"/>
        <color theme="10"/>
      </rPr>
      <t xml:space="preserve">@MKT - Tường Nghi</t>
    </r>
    <r>
      <rPr>
        <u val="single"/>
        <color theme="10"/>
      </rPr>
      <t xml:space="preserve">@MKT - Phương Giao</t>
    </r>
  </si>
  <si>
    <t xml:space="preserve">Nhắc giữa campaign</t>
  </si>
  <si>
    <t xml:space="preserve">Theo hướng vẫn còn rất nhiều quà ưu đãi đang đợi</t>
  </si>
  <si>
    <t/>
    <r>
      <rPr>
        <u val="single"/>
        <color theme="10"/>
      </rPr>
      <t xml:space="preserve">@MKT - Tường Nghi</t>
    </r>
    <r>
      <rPr>
        <u val="single"/>
        <color theme="10"/>
      </rPr>
      <t xml:space="preserve">@MKT - Phương Giao</t>
    </r>
  </si>
  <si>
    <t xml:space="preserve">Tuyến bài taget vào Phụ Huynh</t>
  </si>
  <si>
    <t xml:space="preserve">Gợi ý. các chủ để như "Con mắt sát học giỏi mẹ tự hào" Hoặc là "Sáng mắt sáng tương lai của con"</t>
  </si>
  <si>
    <t/>
    <r>
      <rPr>
        <u val="single"/>
        <color theme="10"/>
      </rPr>
      <t xml:space="preserve">@MKT - Tường Nghi</t>
    </r>
    <r>
      <rPr>
        <u val="single"/>
        <color theme="10"/>
      </rPr>
      <t xml:space="preserve">@MKT - Phương Giao</t>
    </r>
  </si>
  <si>
    <t xml:space="preserve">Tuyến bài taget vào Học Sinh</t>
  </si>
  <si>
    <t xml:space="preserve">Các bài viết liên Virual đẹp teen</t>
  </si>
  <si>
    <t/>
    <r>
      <rPr>
        <u val="single"/>
        <color theme="10"/>
      </rPr>
      <t xml:space="preserve">@MKT - Tường Nghi</t>
    </r>
    <r>
      <rPr>
        <u val="single"/>
        <color theme="10"/>
      </rPr>
      <t xml:space="preserve">@MKT - Phương Giao</t>
    </r>
  </si>
  <si>
    <t xml:space="preserve">Countdown 7 ngày</t>
  </si>
  <si>
    <t xml:space="preserve">CTA còn 7 ngày </t>
  </si>
  <si>
    <t/>
    <r>
      <rPr>
        <u val="single"/>
        <color theme="10"/>
      </rPr>
      <t xml:space="preserve">@MKT - Tường Nghi</t>
    </r>
    <r>
      <rPr>
        <u val="single"/>
        <color theme="10"/>
      </rPr>
      <t xml:space="preserve">@MKT - Phương Giao</t>
    </r>
  </si>
  <si>
    <t xml:space="preserve">Countdown 3 ngày</t>
  </si>
  <si>
    <t/>
    <r>
      <rPr>
        <u val="single"/>
        <color theme="10"/>
      </rPr>
      <t xml:space="preserve">@MKT - Tường Nghi</t>
    </r>
    <r>
      <rPr>
        <u val="single"/>
        <color theme="10"/>
      </rPr>
      <t xml:space="preserve">@MKT - Vi Bằng</t>
    </r>
  </si>
  <si>
    <t xml:space="preserve">Last day</t>
  </si>
  <si>
    <t xml:space="preserve">CTA thông báo ngày hôm nay kết thúc chương trình </t>
  </si>
  <si>
    <t/>
    <r>
      <rPr>
        <u val="single"/>
        <color theme="10"/>
      </rPr>
      <t xml:space="preserve">@MKT - Tường Nghi</t>
    </r>
    <r>
      <rPr>
        <u val="single"/>
        <color theme="10"/>
      </rPr>
      <t xml:space="preserve">@MKT - Phương Giao</t>
    </r>
  </si>
  <si>
    <t xml:space="preserve"> bài viết Khuyến mãi tròng đổi màu</t>
  </si>
  <si>
    <t/>
    <r>
      <rPr>
        <u val="single"/>
        <color theme="10"/>
      </rPr>
      <t xml:space="preserve">@MKT - Tường Nghi</t>
    </r>
    <r>
      <rPr>
        <u val="single"/>
        <color theme="10"/>
      </rPr>
      <t xml:space="preserve">@MKT - Phương Giao</t>
    </r>
  </si>
  <si>
    <t xml:space="preserve">Chụp ảnh Ảnh tổng hợp Prize Collection</t>
  </si>
  <si>
    <t xml:space="preserve">Ảnh người tham gia chúng giải </t>
  </si>
  <si>
    <t/>
    <r>
      <rPr>
        <u val="single"/>
        <color theme="10"/>
      </rPr>
      <t xml:space="preserve">@MKT - Vi Bằng</t>
    </r>
    <r>
      <rPr/>
      <t xml:space="preserve"> </t>
    </r>
    <r>
      <rPr>
        <u val="single"/>
        <color theme="10"/>
      </rPr>
      <t xml:space="preserve">@MKT - Tường Nghi</t>
    </r>
  </si>
  <si>
    <t xml:space="preserve">Chụp ảnh Ảnh lifestyle sử dụng quà</t>
  </si>
  <si>
    <t xml:space="preserve">Sử dụng nhân sự tại mắt kính tâm đức làm khách hàng</t>
  </si>
  <si>
    <t/>
    <r>
      <rPr>
        <u val="single"/>
        <color theme="10"/>
      </rPr>
      <t xml:space="preserve">@MKT - Vi Bằng</t>
    </r>
    <r>
      <rPr/>
      <t xml:space="preserve"> </t>
    </r>
    <r>
      <rPr>
        <u val="single"/>
        <color theme="10"/>
      </rPr>
      <t xml:space="preserve">@MKT - Tường Nghi</t>
    </r>
  </si>
  <si>
    <t xml:space="preserve">Ảnh quy trình chơi game, quay Lucky Spin và nhận quà tại cửa hàng</t>
  </si>
  <si>
    <t xml:space="preserve">Nếu có khách hàng quay linh động xuống quay videos nhằm mục tiêu lấy tư liệu </t>
  </si>
  <si>
    <t/>
    <r>
      <rPr>
        <u val="single"/>
        <color theme="10"/>
      </rPr>
      <t xml:space="preserve">@MKT - Vi Bằng</t>
    </r>
    <r>
      <rPr/>
      <t xml:space="preserve"> </t>
    </r>
    <r>
      <rPr>
        <u val="single"/>
        <color theme="10"/>
      </rPr>
      <t xml:space="preserve">@MKT - Tường Nghi</t>
    </r>
  </si>
  <si>
    <t xml:space="preserve">Meta Ads</t>
  </si>
  <si>
    <t/>
    <r>
      <rPr>
        <u val="single"/>
        <color theme="10"/>
      </rPr>
      <t xml:space="preserve">@MKT - Hoàng Linh</t>
    </r>
  </si>
  <si>
    <t xml:space="preserve">Google Ads</t>
  </si>
  <si>
    <t/>
    <r>
      <rPr>
        <u val="single"/>
        <color theme="10"/>
      </rPr>
      <t xml:space="preserve">@MKT - Hoàng Linh</t>
    </r>
  </si>
  <si>
    <t xml:space="preserve">TikTok Ads</t>
  </si>
  <si>
    <t/>
    <r>
      <rPr>
        <u val="single"/>
        <color theme="10"/>
      </rPr>
      <t xml:space="preserve">@MKT - Hoàng Linh</t>
    </r>
  </si>
  <si>
    <t xml:space="preserve">Tiktok Ads chạy videos của KOC </t>
  </si>
  <si>
    <t/>
    <r>
      <rPr>
        <u val="single"/>
        <color theme="10"/>
      </rPr>
      <t xml:space="preserve">@MKT - Hoàng Linh</t>
    </r>
  </si>
  <si>
    <t xml:space="preserve">Bài Viết trên website thông báo Chương trình</t>
  </si>
  <si>
    <t xml:space="preserve">Website</t>
  </si>
  <si>
    <t/>
    <r>
      <rPr>
        <u val="single"/>
        <color theme="10"/>
      </rPr>
      <t xml:space="preserve">@MKT - Tường Nghi</t>
    </r>
  </si>
  <si>
    <t xml:space="preserve">Hướng dẫn game Mắt Tinh cho cửa hàng</t>
  </si>
  <si>
    <t xml:space="preserve">Nội bộ</t>
  </si>
  <si>
    <t/>
    <r>
      <rPr>
        <u val="single"/>
        <color theme="10"/>
      </rPr>
      <t xml:space="preserve">@MKT - Tường Nghi</t>
    </r>
  </si>
  <si>
    <t xml:space="preserve">Hướng dẫn nhận voucher Cho cửa hàng</t>
  </si>
  <si>
    <t/>
    <r>
      <rPr>
        <u val="single"/>
        <color theme="10"/>
      </rPr>
      <t xml:space="preserve">@MKT - Tường Nghi</t>
    </r>
  </si>
  <si>
    <t/>
    <r>
      <rPr>
        <u val="single"/>
        <color theme="10"/>
      </rPr>
      <t xml:space="preserve">@MKT - Tường Nghi</t>
    </r>
  </si>
  <si>
    <t xml:space="preserve">Triển khai các ấn phẩm tại cửa hàng</t>
  </si>
  <si>
    <t xml:space="preserve">Posm</t>
  </si>
  <si>
    <t xml:space="preserve">Vận hành</t>
  </si>
  <si>
    <t xml:space="preserve">Booking KOC Theo tệp HSSV để nâng cap tiếp cận và thương hiệu.</t>
  </si>
  <si>
    <t xml:space="preserve">Sẽ sử dụng clip của KOC cho giai đoạn giữa chiến dịch Yêu cầu KOC có thể trả clip trong vòng 7 ngày</t>
  </si>
  <si>
    <t xml:space="preserve">KOL</t>
  </si>
  <si>
    <t/>
    <r>
      <rPr>
        <u val="single"/>
        <color theme="10"/>
      </rPr>
      <t xml:space="preserve">@MKT - Tường Nghi</t>
    </r>
  </si>
  <si>
    <t xml:space="preserve">Kịnh bản Cho KOC Review sản phẩm dịch vụ kèm Giới thiệu Back to school </t>
  </si>
  <si>
    <t xml:space="preserve">Content,KOL</t>
  </si>
  <si>
    <t/>
    <r>
      <rPr>
        <u val="single"/>
        <color theme="10"/>
      </rPr>
      <t xml:space="preserve">@MKT - Tường Nghi</t>
    </r>
  </si>
  <si>
    <t xml:space="preserve">Quay với KOC theo kịch bản </t>
  </si>
  <si>
    <t xml:space="preserve">Shooting,Content,KOL</t>
  </si>
  <si>
    <t/>
    <r>
      <rPr>
        <u val="single"/>
        <color theme="10"/>
      </rPr>
      <t xml:space="preserve">@MKT - Vi Bằng</t>
    </r>
  </si>
  <si>
    <t xml:space="preserve">Nghiệm thu clip KOC và đăng Reup hoặc đăng lại tiktok các nền tảng như facebook có thể dùng tài khoản thương hiệu để tương tác như cám ơn chào hỏi</t>
  </si>
  <si>
    <t xml:space="preserve">Seeding bài viết của KOC </t>
  </si>
  <si>
    <t xml:space="preserve">Có thể sử dụng hình ảnh AI hoặc các bài viết cũ + các Hình ảnh được chụp sử dụng khách hàng chơi game hoặc sử dụng sản phẩm để có thể chiển khai cho Seeding</t>
  </si>
  <si>
    <t xml:space="preserve">Seeding</t>
  </si>
  <si>
    <t/>
    <r>
      <rPr>
        <u val="single"/>
        <color theme="10"/>
      </rPr>
      <t xml:space="preserve">@MKT - Tường Nghi</t>
    </r>
  </si>
  <si>
    <t xml:space="preserve">Báo cáo Tuần 1 </t>
  </si>
  <si>
    <t/>
    <r>
      <rPr>
        <u val="single"/>
        <color theme="10"/>
      </rPr>
      <t xml:space="preserve">@MKT - Quốc Duy (Manager)</t>
    </r>
    <r>
      <rPr>
        <u val="single"/>
        <color theme="10"/>
      </rPr>
      <t xml:space="preserve">@MKT - Hoàng Linh</t>
    </r>
  </si>
  <si>
    <t xml:space="preserve">Báo cáo tuần 2 </t>
  </si>
  <si>
    <t/>
    <r>
      <rPr>
        <u val="single"/>
        <color theme="10"/>
      </rPr>
      <t xml:space="preserve">@MKT - Quốc Duy (Manager)</t>
    </r>
    <r>
      <rPr>
        <u val="single"/>
        <color theme="10"/>
      </rPr>
      <t xml:space="preserve">@MKT - Hoàng Linh</t>
    </r>
  </si>
  <si>
    <t xml:space="preserve">Báo cáo tuần 3</t>
  </si>
  <si>
    <t/>
    <r>
      <rPr>
        <u val="single"/>
        <color theme="10"/>
      </rPr>
      <t xml:space="preserve">@MKT - Quốc Duy (Manager)</t>
    </r>
    <r>
      <rPr>
        <u val="single"/>
        <color theme="10"/>
      </rPr>
      <t xml:space="preserve">@MKT - Hoàng Linh</t>
    </r>
  </si>
  <si>
    <t xml:space="preserve">Báo cáo tuần 4 </t>
  </si>
  <si>
    <t/>
    <r>
      <rPr>
        <u val="single"/>
        <color theme="10"/>
      </rPr>
      <t xml:space="preserve">@MKT - Quốc Duy (Manager)</t>
    </r>
    <r>
      <rPr>
        <u val="single"/>
        <color theme="10"/>
      </rPr>
      <t xml:space="preserve">@MKT - Hoàng Linh</t>
    </r>
  </si>
  <si>
    <t xml:space="preserve">Báo cáo kết thúc chiến dịch</t>
  </si>
  <si>
    <t/>
    <r>
      <rPr>
        <u val="single"/>
        <color theme="10"/>
      </rPr>
      <t xml:space="preserve">@MKT - Quốc Duy (Manager)</t>
    </r>
    <r>
      <rPr>
        <u val="single"/>
        <color theme="10"/>
      </rPr>
      <t xml:space="preserve">@MKT - Hoàng Linh</t>
    </r>
  </si>
  <si>
    <t xml:space="preserve">Combo Kính Học Đường </t>
  </si>
  <si>
    <t xml:space="preserve">Thành phần</t>
  </si>
  <si>
    <t xml:space="preserve">Giá trị</t>
  </si>
  <si>
    <t xml:space="preserve">Vai trò truyền thông</t>
  </si>
  <si>
    <t xml:space="preserve">Cơ chế nâng cấp</t>
  </si>
  <si>
    <t xml:space="preserve">4.1. Combo Kính Học Đường Tiết Kiệm — 499.000đ
</t>
  </si>
  <si>
    <t xml:space="preserve">Gọng HANVIS: 520.000đTròng Ecolite 1.56 UV400: 282.000đ</t>
  </si>
  <si>
    <t/>
    <r>
      <rPr/>
      <t xml:space="preserve">Giá gốc: </t>
    </r>
    <r>
      <rPr>
        <b val="true"/>
        <i val="false"/>
        <strike val="false"/>
        <sz val="10"/>
        <color rgb="FF000000"/>
      </rPr>
      <t>802.000đ</t>
    </r>
    <r>
      <rPr/>
      <t xml:space="preserve">Giá combo: </t>
    </r>
    <r>
      <rPr>
        <b val="true"/>
        <i val="false"/>
        <strike val="false"/>
        <sz val="10"/>
        <color rgb="FF000000"/>
      </rPr>
      <t>499.000đ</t>
    </r>
    <r>
      <rPr/>
      <t xml:space="preserve">Tiết kiệm: </t>
    </r>
    <r>
      <rPr>
        <b val="true"/>
        <i val="false"/>
        <strike val="false"/>
        <sz val="10"/>
        <color rgb="FF000000"/>
      </rPr>
      <t>303.000đ</t>
    </r>
  </si>
  <si>
    <t xml:space="preserve">Đây là combo phễu chính, dùng làm headline lớn nhất trên:Key VisualLanding pageWebsite bannerMeta AdsGoogle AdsPOSM tại cửa hàng</t>
  </si>
  <si>
    <t/>
    <r>
      <rPr>
        <b val="false"/>
        <i val="false"/>
        <strike val="false"/>
        <sz val="10"/>
        <color rgb="FF000000"/>
      </rPr>
      <t xml:space="preserve">Cơ chế đổi gọng, đổi tròng hoặc nâng cấp sản phẩm </t>
    </r>
    <r>
      <rPr>
        <b val="true"/>
        <i val="false"/>
        <strike val="false"/>
        <sz val="10"/>
        <color rgb="FF000000"/>
      </rPr>
      <t xml:space="preserve">chưa chốt</t>
    </r>
    <r>
      <rPr>
        <b val="false"/>
        <i val="false"/>
        <strike val="false"/>
        <sz val="10"/>
        <color rgb="FF000000"/>
      </rPr>
      <t xml:space="preserve">.
Marketing:
Không tự xây dựng bảng phụ thu
Không tự truyền thông “chỉ trả phần chênh lệch”Không đưa nội dung nâng cấp vào KV hoặc quảng cáoChỉ bổ sung sau khi có chính sách chính thức từ Ban Điều hành, Kinh doanh và Kế toán
</t>
    </r>
  </si>
  <si>
    <t xml:space="preserve">4.2. Combo Kính Học Đường Bảo Vệ Mắt — 800.000đ</t>
  </si>
  <si>
    <t xml:space="preserve">Gọng HANVIS: 520.000đTròng lọc ánh sáng xanh Chemi U6 1.60</t>
  </si>
  <si>
    <t/>
    <r>
      <rPr/>
      <t xml:space="preserve">Giá gốc: </t>
    </r>
    <r>
      <rPr>
        <b val="true"/>
        <i val="false"/>
        <strike val="false"/>
        <sz val="10"/>
        <color rgb="FF000000"/>
      </rPr>
      <t>1.392.000đ</t>
    </r>
    <r>
      <rPr/>
      <t xml:space="preserve">Giá combo: </t>
    </r>
    <r>
      <rPr>
        <b val="true"/>
        <i val="false"/>
        <strike val="false"/>
        <sz val="10"/>
        <color rgb="FF000000"/>
      </rPr>
      <t>800.000đ</t>
    </r>
    <r>
      <rPr/>
      <t xml:space="preserve">Tiết kiệm: </t>
    </r>
    <r>
      <rPr>
        <b val="true"/>
        <i val="false"/>
        <strike val="false"/>
        <sz val="10"/>
        <color rgb="FF000000"/>
      </rPr>
      <t>592.000đ</t>
    </r>
    <r>
      <rPr/>
      <t xml:space="preserve">
</t>
    </r>
  </si>
  <si>
    <t xml:space="preserve">Định vị dành cho học sinh, sinh viên thường xuyên:Học onlineDùng máy tínhDùng điện thoạiDùng máy tính bảngKhông truyền thông quá mức về tác dụng y tế. Nội dung phải bám đúng tính năng sản phẩm được hãng công bố.</t>
  </si>
  <si>
    <t xml:space="preserve">4.3. Combo Kính Học Đường Cao Cấp — 1.200.000đ</t>
  </si>
  <si>
    <t xml:space="preserve">Gọng POVINO: 699.000đTròng KODAK UV Blue: 1.150.000đ
</t>
  </si>
  <si>
    <t/>
    <r>
      <rPr/>
      <t xml:space="preserve">Giá gốc: </t>
    </r>
    <r>
      <rPr>
        <b val="true"/>
        <i val="false"/>
        <strike val="false"/>
        <sz val="10"/>
        <color rgb="FF000000"/>
      </rPr>
      <t>1.849.000đ</t>
    </r>
    <r>
      <rPr/>
      <t xml:space="preserve">Giá combo: </t>
    </r>
    <r>
      <rPr>
        <b val="true"/>
        <i val="false"/>
        <strike val="false"/>
        <sz val="10"/>
        <color rgb="FF000000"/>
      </rPr>
      <t>1.200.000đ</t>
    </r>
    <r>
      <rPr/>
      <t xml:space="preserve">Tiết kiệm: </t>
    </r>
    <r>
      <rPr>
        <b val="true"/>
        <i val="false"/>
        <strike val="false"/>
        <sz val="10"/>
        <color rgb="FF000000"/>
      </rPr>
      <t>649.000đ</t>
    </r>
    <r>
      <rPr/>
      <t xml:space="preserve">
</t>
    </r>
  </si>
  <si>
    <t xml:space="preserve">Định vị:Gọng thời trang hơn Tròng kính thương hiệu KODAK Lựa chọn cao hơn cho phụ huynh và sinh viên Tăng AOV và tỷ lệ upsell</t>
  </si>
  <si>
    <t xml:space="preserve">Học sinh, sinh viên được giảm thêm 5% tổng hóa đơn.</t>
  </si>
  <si>
    <t xml:space="preserve">5% Tổng đơn. Không kèm theo các chương trình khuyến mãi khác</t>
  </si>
  <si>
    <t xml:space="preserve">MINIGAME </t>
  </si>
  <si>
    <t xml:space="preserve">GAMIFICATION “MẮT TINH”</t>
  </si>
  <si>
    <t xml:space="preserve">Tông số lượng quà </t>
  </si>
  <si>
    <t xml:space="preserve">khoảng 107 phần</t>
  </si>
  <si>
    <t xml:space="preserve">Dư Phòng khoảng 54 phần</t>
  </si>
  <si>
    <t xml:space="preserve">Vai trò</t>
  </si>
  <si>
    <t/>
    <r>
      <rPr>
        <b val="true"/>
        <i val="false"/>
        <strike val="false"/>
        <sz val="10"/>
        <color rgb="FF000000"/>
      </rPr>
      <t xml:space="preserve">8.2. Phần thưởng chính</t>
    </r>
    <r>
      <rPr/>
      <t xml:space="preserve">
</t>
    </r>
  </si>
  <si>
    <t xml:space="preserve">8.3. Cách nhận lượt chơi</t>
  </si>
  <si>
    <t xml:space="preserve">Referral</t>
  </si>
  <si>
    <t xml:space="preserve">8.5. Quà vật lý trong game</t>
  </si>
  <si>
    <t xml:space="preserve">Nội dung cần tránh</t>
  </si>
  <si>
    <t xml:space="preserve">Game Mắt Tinh là công cụ:
  - Thu lead
  - Tăng booking
  - Tạo referral
  - Phát voucher
  - Tích sao
  - Điều hướng người chơi trở thành khách mua hàng
  Game không phải là kênh phát quà vật lý đại trà.</t>
  </si>
  <si>
    <t xml:space="preserve">Phần thưởng chính của game gồm:
Voucher 20.000đ
Voucher 50.000đ
Voucher 100.000đ có điều kiện
Voucher nâng cấp tròng
Voucher giảm gọng chọn lọc
Thêm lượt chơi
Sao tích lũy
Marketing cần xây dựng communication hierarchy theo hướng:Chơi game để nhận voucher và tích sao. Quà vật lý chỉ dành cho người chơi đạt đủ điều kiện nâng cao.
</t>
  </si>
  <si>
    <t/>
    <r>
      <rPr>
        <b val="true"/>
        <i val="false"/>
        <strike val="false"/>
        <sz val="10"/>
        <color rgb="FF000000"/>
      </rPr>
      <t xml:space="preserve">Dự kiến:
</t>
    </r>
    <r>
      <rPr>
        <b val="false"/>
        <i val="false"/>
        <strike val="false"/>
        <sz val="10"/>
        <color rgb="FF000000"/>
      </rPr>
      <t xml:space="preserve">Đăng ký và xác minh số điện thoại
Đặt lịch đo mắt
Giới thiệu bạn bè đăng ký hợp lệ
Người được giới thiệu đặt lịch
Người được giới thiệu đến cửa hàng
Người được giới thiệu phát sinh hóa đơn</t>
    </r>
  </si>
  <si>
    <t xml:space="preserve">Referral chỉ được tính hợp lệ khi:
Là referral một tầng trực tiếp
Người được giới thiệu là khách mớiXác minh số điện thoại bằng OTP
Không trùng tài khoản hoặc thiết bị bất thường
Không tự giới thiệu
Phát sinh hóa đơn hoàn tấtHóa đơn không bị hoàn hoặc hủy
Đạt ngưỡng doanh thu tối thiểu theo thể lệ
Marketing không được truyền thông rằng chỉ cần gửi link là chắc chắn nhận quà vật lý.</t>
  </si>
  <si>
    <t xml:space="preserve">Quà vật lý chỉ được đổi khi người chơi đạt đồng thời:
Đủ số sao
Có đủ referral hợp lệ
Referral đã phát sinh hóa đơn
Quà còn tồn kho
Tài khoản không có dấu hiệu gian lận
</t>
  </si>
  <si>
    <t xml:space="preserve">Không truyền thông “chơi là có quà vật lý”
Không dùng “trúng thưởng” cho phần đổi quà bằng sao
Không tạo cảm giác referral nhiều tầng
Không cam kết quà không giới hạn
Không dùng hình thức ngẫu nhiên trong game Mắt Tinh</t>
  </si>
  <si>
    <t xml:space="preserve">QUÀ TẶNG VÀ ĐIỀU KIỆN</t>
  </si>
  <si>
    <t xml:space="preserve">Phần thưởng</t>
  </si>
  <si>
    <t xml:space="preserve">Sao yêu cầu</t>
  </si>
  <si>
    <t xml:space="preserve">Referral có đơn hàng</t>
  </si>
  <si>
    <t xml:space="preserve">Sổ tay hoặc quà nhỏ</t>
  </si>
  <si>
    <t xml:space="preserve">300 sao</t>
  </si>
  <si>
    <t xml:space="preserve">1 đơn</t>
  </si>
  <si>
    <t xml:space="preserve">Kê/móc điện thoại</t>
  </si>
  <si>
    <t xml:space="preserve">500 sao</t>
  </si>
  <si>
    <t xml:space="preserve">Áo mưa</t>
  </si>
  <si>
    <t xml:space="preserve">800 sao</t>
  </si>
  <si>
    <t xml:space="preserve">2 đơn</t>
  </si>
  <si>
    <t xml:space="preserve">Nón bảo hiểm</t>
  </si>
  <si>
    <t xml:space="preserve">1.200 sao</t>
  </si>
  <si>
    <t xml:space="preserve">3 đơn</t>
  </si>
  <si>
    <t xml:space="preserve">Áo thương hiệu</t>
  </si>
  <si>
    <t xml:space="preserve">1.500 sao</t>
  </si>
  <si>
    <t xml:space="preserve">3–5 đơn</t>
  </si>
  <si>
    <t xml:space="preserve"> LUCKY SPIN TẠI CỬA HÀNG</t>
  </si>
  <si>
    <t xml:space="preserve">Mục tiêu</t>
  </si>
  <si>
    <t xml:space="preserve">Điều kiện tham gia</t>
  </si>
  <si>
    <t xml:space="preserve"> Quà Lucky Spin</t>
  </si>
  <si>
    <t xml:space="preserve">Cách truyền thông</t>
  </si>
  <si>
    <t xml:space="preserve">Yêu cầu kỹ thuật</t>
  </si>
  <si>
    <t xml:space="preserve">Lucky Spin dùng để:
Thưởng khách đã mua hàng
Tăng AOV
Tạo trải nghiệm tại cửa hàng
Tăng động lực nâng hóa đơn
Tăng khả năng chia sẻ social tại điểm bán</t>
  </si>
  <si>
    <t/>
    <r>
      <rPr>
        <b val="false"/>
        <i val="false"/>
        <strike val="false"/>
        <sz val="10"/>
        <color rgb="FF000000"/>
      </rPr>
      <t xml:space="preserve">Hóa đơn thanh toán thực tế từ </t>
    </r>
    <r>
      <rPr>
        <b val="true"/>
        <i val="false"/>
        <strike val="false"/>
        <sz val="10"/>
        <color rgb="FF000000"/>
      </rPr>
      <t xml:space="preserve">1.500.000đ
</t>
    </r>
    <r>
      <rPr>
        <b val="false"/>
        <i val="false"/>
        <strike val="false"/>
        <sz val="10"/>
        <color rgb="FF000000"/>
      </rPr>
      <t xml:space="preserve">Mỗi hóa đơn hợp lệ được </t>
    </r>
    <r>
      <rPr>
        <b val="true"/>
        <i val="false"/>
        <strike val="false"/>
        <sz val="10"/>
        <color rgb="FF000000"/>
      </rPr>
      <t xml:space="preserve">1 lượt quay
</t>
    </r>
    <r>
      <rPr>
        <b val="false"/>
        <i val="false"/>
        <strike val="false"/>
        <sz val="10"/>
        <color rgb="FF000000"/>
      </rPr>
      <t xml:space="preserve">Tính theo số tiền khách thực thanh toán sau giảm giá và voucher
Một hóa đơn chỉ được quay một lần
Không tách hóa đơn để tăng lượt quay
Hóa đơn hoàn hoặc hủy sẽ hủy quyền lợi tương ứng
Kết quả quay được ghi nhận trên hệ thống</t>
    </r>
  </si>
  <si>
    <t xml:space="preserve">Ưu tiên các quà vật lý có giá trị cảm nhận tốt:
Nón bảo hiểm Mắt Kính Tâm Đức
Nón bảo hiểm Chemi
Áo mưa Chemi/Kodak
Sổ tayKê điện thoại
Móc khóa điện thoại
Áo Chemi/Zeiss/Kodak
Túi thương hiệu</t>
  </si>
  <si>
    <t/>
    <r>
      <rPr>
        <b val="false"/>
        <i val="false"/>
        <strike val="false"/>
        <sz val="10"/>
        <color rgb="FF000000"/>
      </rPr>
      <t xml:space="preserve">Thông điệp đề xuất:</t>
    </r>
    <r>
      <rPr>
        <b val="true"/>
        <i val="false"/>
        <strike val="false"/>
        <sz val="10"/>
        <color rgb="FF000000"/>
      </rPr>
      <t xml:space="preserve">Hóa đơn từ 1.500.000đ — quay Lucky Spin, nhận quà ngay tại cửa hàng.
</t>
    </r>
    <r>
      <rPr>
        <b val="false"/>
        <i val="false"/>
        <strike val="false"/>
        <sz val="10"/>
        <color rgb="FF000000"/>
      </rPr>
      <t>Hoặc:</t>
    </r>
    <r>
      <rPr>
        <b val="true"/>
        <i val="false"/>
        <strike val="false"/>
        <sz val="10"/>
        <color rgb="FF000000"/>
      </rPr>
      <t xml:space="preserve">Mua sắm từ 1,5 triệu — nhận 1 lượt quay quà tại cửa hàng.
</t>
    </r>
    <r>
      <rPr>
        <b val="false"/>
        <i val="false"/>
        <strike val="false"/>
        <sz val="10"/>
        <color rgb="FF000000"/>
      </rPr>
      <t xml:space="preserve">Marketing phải kèm disclaimer:
Áp dụng theo thể lệ
Quà theo tồn khoMỗi hóa đơn một lượt
Không quy đổi thành tiền
Không áp dụng cho hóa đơn hoàn/hủy</t>
    </r>
  </si>
  <si>
    <t xml:space="preserve">Kết quả quay do hệ thống xác định
  - Frontend chỉ hiển thị animation
  - Một invoice chỉ quay một lần
  - Có audit log
  - Có kiểm soát tồn quà
  - Có xử lý mất mạng
  - Nhân viên không tự chỉnh kết quả
  - Có báo cáo số lượt quay, quà đã phát và tồn kho</t>
  </si>
  <si>
    <t xml:space="preserve">Lưu ý  :Có nội dung “quà theo tồn kho” rõ ràng</t>
  </si>
  <si>
    <t xml:space="preserve">Có nghĩa là Quà tặng số lượng có hạn</t>
  </si>
  <si>
    <t xml:space="preserve">STT</t>
  </si>
  <si>
    <t xml:space="preserve">Sản phẩm </t>
  </si>
  <si>
    <t xml:space="preserve">Trạng thái </t>
  </si>
  <si>
    <t xml:space="preserve">LInk</t>
  </si>
  <si>
    <t xml:space="preserve">Nón bảo hiểm Mắt Kính Tâm Đức</t>
  </si>
  <si>
    <t xml:space="preserve">Đã chụp</t>
  </si>
  <si>
    <t xml:space="preserve">Nón bảo hiểm Chemi</t>
  </si>
  <si>
    <t xml:space="preserve">Áo mưa Chemi/Kodak</t>
  </si>
  <si>
    <t xml:space="preserve">Sổ tay</t>
  </si>
  <si>
    <t xml:space="preserve">Kê điện thoại Mắt Kính Tâm Đức</t>
  </si>
  <si>
    <t xml:space="preserve">Kê điện thoại Parim</t>
  </si>
  <si>
    <t xml:space="preserve">Móc khóa điện thoại Mắt Kính Tâm Đức</t>
  </si>
  <si>
    <t xml:space="preserve">Chưa chụp</t>
  </si>
  <si>
    <t xml:space="preserve">Áo Chemi</t>
  </si>
  <si>
    <t xml:space="preserve">Áo Zeiss</t>
  </si>
  <si>
    <t xml:space="preserve">Áo Kodak</t>
  </si>
  <si>
    <t xml:space="preserve">Túi Bolon</t>
  </si>
  <si>
    <t xml:space="preserve">Túi Parim</t>
  </si>
  <si>
    <t xml:space="preserve">Túi Ray-Ban</t>
  </si>
  <si>
    <t xml:space="preserve">Bịt mắt Molsion</t>
  </si>
  <si>
    <t xml:space="preserve">Hạng Mục</t>
  </si>
  <si>
    <t xml:space="preserve">Nội dung</t>
  </si>
  <si>
    <t xml:space="preserve">Đơn giá</t>
  </si>
  <si>
    <t xml:space="preserve">Số lượng</t>
  </si>
  <si>
    <t xml:space="preserve">Tổng</t>
  </si>
  <si>
    <t xml:space="preserve">Ghi chú</t>
  </si>
  <si>
    <t xml:space="preserve">Google Ads</t>
  </si>
  <si>
    <t xml:space="preserve">Su dung ngan sach Digital Marketing thang</t>
  </si>
  <si>
    <t xml:space="preserve">Meta Ads</t>
  </si>
  <si>
    <t xml:space="preserve">TikTok Ads</t>
  </si>
  <si>
    <t xml:space="preserve">Thuê KOC</t>
  </si>
  <si>
    <t xml:space="preserve">in ấn tentcard</t>
  </si>
  <si>
    <t xml:space="preserve">In ấn Standee 80x180 </t>
  </si>
  <si>
    <t xml:space="preserve">Chân standee 80x180 </t>
  </si>
  <si>
    <t xml:space="preserve">Seeding Cmt Facebook</t>
  </si>
  <si>
    <t xml:space="preserve">Gioi thieu san pham noi bo, khong thue dich vu</t>
  </si>
  <si>
    <t xml:space="preserve">Seeding Cmt Tiktok</t>
  </si>
  <si>
    <t xml:space="preserve">Social Media</t>
  </si>
  <si>
    <t xml:space="preserve">Chi phí Hỗ trợ quay với nhân sự Gồm có i lại, gửi xe, nước</t>
  </si>
  <si>
    <t xml:space="preserve">Tổng Chi phí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</si>
</sst>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d/mm/yy"/>
    <numFmt numFmtId="165" formatCode="m/d/yyyy"/>
    <numFmt numFmtId="166" formatCode="dd/mm/yyyy"/>
    <numFmt numFmtId="167" formatCode="m/d/yyyy"/>
    <numFmt numFmtId="168" formatCode="MM/dd/yyyy"/>
    <numFmt numFmtId="169" formatCode="General"/>
    <numFmt numFmtId="170" formatCode="DD/MM/YYYY"/>
    <numFmt numFmtId="171" formatCode="#,##0.00&quot; ₫&quot;[$-vi-VN]_);(#,##0.00&quot; ₫&quot;[$-vi-VN])"/>
  </numFmts>
  <fonts count="20">
    <font>
      <sz val="12"/>
      <color theme="1"/>
      <name val="Calibri"/>
      <family val="2"/>
      <scheme val="minor"/>
    </font>
    <font>
      <b val="true"/>
      <sz val="10"/>
      <color rgb="FF000000"/>
      <name val="Calibri"/>
      <family val="2"/>
      <scheme val="minor"/>
    </font>
    <font>
      <sz val="10"/>
      <color rgb="FF000000"/>
      <name val="Calibri"/>
      <family val="2"/>
      <scheme val="minor"/>
    </font>
    <font>
      <sz val="10"/>
      <color rgb="FF1F2329"/>
      <name val="Calibri"/>
      <family val="2"/>
      <scheme val="minor"/>
    </font>
    <font>
      <b val="true"/>
      <sz val="10"/>
      <color rgb="FFFFFFFF"/>
      <name val="Calibri"/>
      <family val="2"/>
      <scheme val="minor"/>
    </font>
    <font>
      <b val="true"/>
      <sz val="10"/>
      <color rgb="FF1F2329"/>
      <name val="Calibri"/>
      <family val="2"/>
      <scheme val="minor"/>
    </font>
    <font>
      <b val="true"/>
      <sz val="10"/>
      <color rgb="FF000000"/>
      <name val="Arial"/>
      <family val="2"/>
    </font>
    <font>
      <sz val="10"/>
      <color rgb="FF000000"/>
      <name val="Arial"/>
      <family val="2"/>
    </font>
    <font>
      <b val="true"/>
      <sz val="10"/>
      <color rgb="FFFFFFFF"/>
      <name val="JetBrains Mono"/>
      <family val="2"/>
    </font>
    <font>
      <b val="true"/>
      <sz val="10"/>
      <color rgb="FF373C43"/>
      <name val="Calibri"/>
      <family val="2"/>
      <scheme val="minor"/>
    </font>
    <font>
      <sz val="10"/>
      <color rgb="FF373C43"/>
      <name val="Calibri"/>
      <family val="2"/>
      <scheme val="minor"/>
    </font>
    <font>
      <sz val="24"/>
      <color rgb="FF373C43"/>
      <name val="Calibri"/>
      <family val="2"/>
      <scheme val="minor"/>
    </font>
    <font>
      <b val="true"/>
      <sz val="24"/>
      <color rgb="FF1F2329"/>
      <name val="Calibri"/>
      <family val="2"/>
      <scheme val="minor"/>
    </font>
    <font>
      <sz val="10"/>
      <color rgb="FF000000"/>
      <name val="Calibri"/>
      <family val="2"/>
      <scheme val="minor"/>
    </font>
    <font>
      <sz val="10"/>
      <color rgb="FF434343"/>
      <name val="Roboto"/>
      <family val="2"/>
    </font>
    <font>
      <b val="true"/>
      <sz val="10"/>
      <color rgb="FF000000"/>
      <name val="Calibri"/>
      <family val="2"/>
      <scheme val="minor"/>
    </font>
    <font>
      <sz val="11"/>
      <color rgb="FF000000"/>
      <name val="Calibri"/>
      <family val="2"/>
    </font>
    <font>
      <b val="true"/>
      <sz val="11"/>
      <color rgb="FFFFFFFF"/>
      <name val="Calibri"/>
      <family val="2"/>
    </font>
    <font>
      <sz val="10"/>
      <color rgb="FF000000"/>
      <name val="Calibri"/>
      <family val="2"/>
    </font>
    <font>
      <b val="true"/>
      <sz val="10"/>
      <color rgb="FF000000"/>
      <name val="Calibri"/>
      <family val="2"/>
    </font>
  </fonts>
  <fills count="16">
    <fill>
      <patternFill patternType="none">
        <fgColor/>
        <bgColor/>
      </patternFill>
    </fill>
    <fill>
      <patternFill patternType="gray125">
        <fgColor/>
        <bgColor/>
      </patternFill>
    </fill>
    <fill>
      <patternFill patternType="solid">
        <fgColor rgb="FFFFF258"/>
        <bgColor/>
      </patternFill>
    </fill>
    <fill>
      <patternFill patternType="solid">
        <fgColor rgb="FF124B0C"/>
        <bgColor/>
      </patternFill>
    </fill>
    <fill>
      <patternFill patternType="solid">
        <fgColor rgb="FF024B41"/>
        <bgColor/>
      </patternFill>
    </fill>
    <fill>
      <patternFill patternType="solid">
        <fgColor rgb="FFFFF258"/>
        <bgColor/>
      </patternFill>
    </fill>
    <fill>
      <patternFill patternType="solid">
        <fgColor rgb="FF161920"/>
        <bgColor/>
      </patternFill>
    </fill>
    <fill>
      <patternFill patternType="solid">
        <fgColor rgb="FF124B0C"/>
        <bgColor/>
      </patternFill>
    </fill>
    <fill>
      <patternFill patternType="solid">
        <fgColor rgb="FFD9F5D6"/>
        <bgColor/>
      </patternFill>
    </fill>
    <fill>
      <patternFill patternType="solid">
        <fgColor rgb="FF124B0C"/>
        <bgColor/>
      </patternFill>
    </fill>
    <fill>
      <patternFill patternType="solid">
        <fgColor rgb="FFFFF5EB"/>
        <bgColor/>
      </patternFill>
    </fill>
    <fill>
      <patternFill patternType="solid">
        <fgColor rgb="FFFFF258"/>
        <bgColor/>
      </patternFill>
    </fill>
    <fill>
      <patternFill patternType="solid">
        <fgColor rgb="FF124B0C"/>
        <bgColor/>
      </patternFill>
    </fill>
    <fill>
      <patternFill patternType="solid">
        <fgColor rgb="FF124B0C"/>
        <bgColor/>
      </patternFill>
    </fill>
    <fill>
      <patternFill patternType="solid">
        <fgColor rgb="FF38761D"/>
        <bgColor/>
      </patternFill>
    </fill>
    <fill>
      <patternFill patternType="solid">
        <fgColor rgb="FFB8D332"/>
        <bgColor/>
      </patternFill>
    </fill>
  </fills>
  <borders count="15">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right style="medium">
        <color rgb="FF000000"/>
      </right>
      <top/>
      <bottom/>
      <diagonal/>
    </border>
    <border>
      <left style="medium">
        <color rgb="FF1E2028"/>
      </left>
      <right style="medium">
        <color rgb="FF1E2028"/>
      </right>
      <top style="medium">
        <color rgb="FF1E2028"/>
      </top>
      <bottom style="medium">
        <color rgb="FF1E2028"/>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medium">
        <color rgb="FF999999"/>
      </right>
      <top/>
      <bottom/>
      <diagonal/>
    </border>
    <border>
      <left/>
      <right style="medium">
        <color rgb="FF999999"/>
      </right>
      <top/>
      <bottom style="medium">
        <color rgb="FF999999"/>
      </bottom>
      <diagonal/>
    </border>
  </borders>
  <cellStyleXfs count="1">
    <xf applyAlignment="true" applyBorder="false" applyFill="false" applyFont="false" applyNumberFormat="false" applyProtection="false" borderId="0" fillId="0" fontId="0" numFmtId="0"/>
  </cellStyleXfs>
  <cellXfs count="11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1" fillId="0" fontId="3" numFmtId="164" xfId="0">
      <alignment vertical="center"/>
    </xf>
    <xf applyAlignment="true" applyBorder="false" applyFill="false" applyFont="true" applyNumberFormat="true" applyProtection="false" borderId="1" fillId="0" fontId="2" numFmtId="164" xfId="0">
      <alignment vertical="center"/>
    </xf>
    <xf applyAlignment="true" applyBorder="false" applyFill="false" applyFont="true" applyNumberFormat="false" applyProtection="false" borderId="1" fillId="0" fontId="3" numFmtId="0" xfId="0">
      <alignment vertical="center"/>
    </xf>
    <xf applyAlignment="true" applyBorder="false" applyFill="false" applyFont="true" applyNumberFormat="false" applyProtection="false" borderId="1" fillId="0" fontId="2" numFmtId="0" xfId="0">
      <alignment vertical="center"/>
    </xf>
    <xf applyAlignment="true" applyBorder="false" applyFill="true" applyFont="true" applyNumberFormat="false" applyProtection="false" borderId="2" fillId="3" fontId="4" numFmtId="0" xfId="0">
      <alignment vertical="center"/>
    </xf>
    <xf applyAlignment="true" applyBorder="false" applyFill="true" applyFont="true" applyNumberFormat="false" applyProtection="false" borderId="3" fillId="3" fontId="4" numFmtId="0" xfId="0">
      <alignment vertical="center"/>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4" fillId="0" fontId="5"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 fillId="4" fontId="4" numFmtId="0" xfId="0">
      <alignment horizontal="left" vertical="center"/>
    </xf>
    <xf applyAlignment="true" applyBorder="false" applyFill="false" applyFont="true" applyNumberFormat="false" applyProtection="false" borderId="4" fillId="0" fontId="5" numFmtId="0" xfId="0">
      <alignment vertical="center" wrapText="true"/>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5" fillId="0" fontId="2" numFmtId="0" xfId="0">
      <alignment vertical="center"/>
    </xf>
    <xf applyAlignment="true" applyBorder="false" applyFill="false" applyFont="true" applyNumberFormat="false" applyProtection="false" borderId="5" fillId="0" fontId="2" numFmtId="0" xfId="0">
      <alignment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2" fillId="5" fontId="6" numFmtId="0" xfId="0">
      <alignment vertical="bottom"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2" fillId="0" fontId="6" numFmtId="0" xfId="0">
      <alignment vertical="bottom" wrapText="true"/>
    </xf>
    <xf applyAlignment="true" applyBorder="false" applyFill="false" applyFont="true" applyNumberFormat="false" applyProtection="false" borderId="0" fillId="0" fontId="7" numFmtId="0" xfId="0">
      <alignment horizontal="right" vertical="bottom" wrapText="true"/>
    </xf>
    <xf applyAlignment="true" applyBorder="false" applyFill="false" applyFont="true" applyNumberFormat="false" applyProtection="false" borderId="6" fillId="0" fontId="7" numFmtId="0" xfId="0">
      <alignment vertical="bottom" wrapText="true"/>
    </xf>
    <xf applyAlignment="true" applyBorder="false" applyFill="true" applyFont="true" applyNumberFormat="false" applyProtection="false" borderId="7" fillId="6" fontId="8" numFmtId="0" xfId="0">
      <alignment horizontal="center" vertical="top" wrapText="true"/>
    </xf>
    <xf applyAlignment="true" applyBorder="false" applyFill="false" applyFont="true" applyNumberFormat="false" applyProtection="false" borderId="7" fillId="0" fontId="9" numFmtId="0" xfId="0">
      <alignment vertical="top" wrapText="true"/>
    </xf>
    <xf applyAlignment="true" applyBorder="false" applyFill="false" applyFont="true" applyNumberFormat="false" applyProtection="false" borderId="7" fillId="0" fontId="10" numFmtId="0" xfId="0">
      <alignment vertical="top" wrapText="true"/>
    </xf>
    <xf applyAlignment="true" applyBorder="false" applyFill="true" applyFont="true" applyNumberFormat="false" applyProtection="false" borderId="7" fillId="5" fontId="9" numFmtId="0" xfId="0">
      <alignment vertical="top" wrapText="true"/>
    </xf>
    <xf applyAlignment="true" applyBorder="false" applyFill="true" applyFont="true" applyNumberFormat="false" applyProtection="false" borderId="7" fillId="5" fontId="10" numFmtId="0" xfId="0">
      <alignment vertical="top" wrapText="true"/>
    </xf>
    <xf applyAlignment="true" applyBorder="false" applyFill="false" applyFont="true" applyNumberFormat="false" applyProtection="false" borderId="7" fillId="0" fontId="11" numFmtId="0" xfId="0">
      <alignment vertical="top" wrapText="true"/>
    </xf>
    <xf applyAlignment="true" applyBorder="false" applyFill="false" applyFont="true" applyNumberFormat="false" applyProtection="false" borderId="4" fillId="0" fontId="12"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7" fillId="5" fontId="9" numFmtId="0" xfId="0">
      <alignment vertical="top" wrapText="true"/>
    </xf>
    <xf applyAlignment="true" applyBorder="false" applyFill="false" applyFont="true" applyNumberFormat="false" applyProtection="false" borderId="8" fillId="0" fontId="9" numFmtId="0" xfId="0">
      <alignment vertical="top" wrapText="true"/>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 fillId="0" fontId="10" numFmtId="0" xfId="0">
      <alignment vertical="top" wrapText="true"/>
    </xf>
    <xf applyAlignment="true" applyBorder="false" applyFill="false" applyFont="true" applyNumberFormat="false" applyProtection="false" borderId="8" fillId="0" fontId="7" numFmtId="0" xfId="0">
      <alignment vertical="bottom"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9" fillId="7" fontId="4" numFmtId="0" xfId="0">
      <alignment vertical="center"/>
    </xf>
    <xf applyAlignment="true" applyBorder="false" applyFill="false" applyFont="true" applyNumberFormat="false" applyProtection="false" borderId="9" fillId="0" fontId="2" numFmtId="0" xfId="0">
      <alignment vertical="center"/>
    </xf>
    <xf applyAlignment="true" applyBorder="false" applyFill="false" applyFont="true" applyNumberFormat="true" applyProtection="false" borderId="9" fillId="0" fontId="2" numFmtId="166" xfId="0">
      <alignment vertical="center"/>
    </xf>
    <xf applyAlignment="true" applyBorder="false" applyFill="false" applyFont="true" applyNumberFormat="false" applyProtection="false" borderId="9" fillId="0" fontId="2" numFmtId="0" xfId="0">
      <alignment vertical="center"/>
    </xf>
    <xf applyAlignment="true" applyBorder="false" applyFill="false" applyFont="true" applyNumberFormat="true" applyProtection="false" borderId="9" fillId="0" fontId="2" numFmtId="166"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true" applyProtection="false" borderId="0" fillId="0" fontId="2" numFmtId="168"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10" fillId="0" fontId="2" numFmtId="0" xfId="0">
      <alignment vertical="center"/>
    </xf>
    <xf applyAlignment="true" applyBorder="false" applyFill="true" applyFont="true" applyNumberFormat="false" applyProtection="false" borderId="10" fillId="8" fontId="4" numFmtId="0" xfId="0">
      <alignment vertical="center"/>
    </xf>
    <xf applyAlignment="true" applyBorder="false" applyFill="true" applyFont="true" applyNumberFormat="false" applyProtection="false" borderId="10" fillId="8" fontId="4" numFmtId="0" xfId="0">
      <alignment vertical="center" wrapText="true"/>
    </xf>
    <xf applyAlignment="true" applyBorder="false" applyFill="false" applyFont="true" applyNumberFormat="false" applyProtection="false" borderId="10" fillId="0" fontId="1" numFmtId="0" xfId="0">
      <alignment vertical="center"/>
    </xf>
    <xf applyAlignment="true" applyBorder="false" applyFill="false" applyFont="true" applyNumberFormat="false" applyProtection="false" borderId="10" fillId="0" fontId="2" numFmtId="0" xfId="0">
      <alignment vertical="center"/>
    </xf>
    <xf applyAlignment="true" applyBorder="false" applyFill="true" applyFont="true" applyNumberFormat="false" applyProtection="false" borderId="10" fillId="9" fontId="4" numFmtId="0" xfId="0">
      <alignment horizontal="center" vertical="center"/>
    </xf>
    <xf applyAlignment="true" applyBorder="false" applyFill="true" applyFont="true" applyNumberFormat="false" applyProtection="false" borderId="10" fillId="9" fontId="4" numFmtId="0" xfId="0">
      <alignment vertical="center"/>
    </xf>
    <xf applyAlignment="true" applyBorder="false" applyFill="true" applyFont="true" applyNumberFormat="false" applyProtection="false" borderId="10" fillId="9" fontId="4" numFmtId="0" xfId="0">
      <alignment vertical="center" wrapText="true"/>
    </xf>
    <xf applyAlignment="true" applyBorder="false" applyFill="true" applyFont="true" applyNumberFormat="true" applyProtection="false" borderId="10" fillId="9" fontId="4" numFmtId="169" xfId="0">
      <alignment horizontal="center" vertical="center" wrapText="true"/>
    </xf>
    <xf applyAlignment="true" applyBorder="false" applyFill="true" applyFont="true" applyNumberFormat="true" applyProtection="false" borderId="10" fillId="9" fontId="4" numFmtId="170" xfId="0">
      <alignment horizontal="center" vertical="center"/>
    </xf>
    <xf applyAlignment="true" applyBorder="false" applyFill="false" applyFont="true" applyNumberFormat="false" applyProtection="false" borderId="10" fillId="0" fontId="2" numFmtId="0" xfId="0">
      <alignment horizontal="center" vertical="center"/>
    </xf>
    <xf applyAlignment="true" applyBorder="false" applyFill="false" applyFont="true" applyNumberFormat="false" applyProtection="false" borderId="10" fillId="0" fontId="2" numFmtId="0" xfId="0">
      <alignment vertical="center" wrapText="true"/>
    </xf>
    <xf applyAlignment="true" applyBorder="false" applyFill="false" applyFont="true" applyNumberFormat="true" applyProtection="false" borderId="10" fillId="0" fontId="2" numFmtId="169" xfId="0">
      <alignment horizontal="center" vertical="center"/>
    </xf>
    <xf applyAlignment="true" applyBorder="false" applyFill="false" applyFont="true" applyNumberFormat="true" applyProtection="false" borderId="10" fillId="0" fontId="2" numFmtId="170" xfId="0">
      <alignment horizontal="center" vertical="center"/>
    </xf>
    <xf applyAlignment="true" applyBorder="false" applyFill="false" applyFont="true" applyNumberFormat="true" applyProtection="false" borderId="10" fillId="0" fontId="1" numFmtId="170" xfId="0">
      <alignment horizontal="center" vertical="center"/>
    </xf>
    <xf applyAlignment="true" applyBorder="false" applyFill="false" applyFont="true" applyNumberFormat="false" applyProtection="false" borderId="10" fillId="0" fontId="2" numFmtId="0" xfId="0">
      <alignment vertical="center"/>
    </xf>
    <xf applyAlignment="true" applyBorder="false" applyFill="false" applyFont="true" applyNumberFormat="false" applyProtection="false" borderId="10" fillId="0" fontId="13" numFmtId="0" xfId="0">
      <alignment vertical="center" wrapText="true"/>
    </xf>
    <xf applyAlignment="true" applyBorder="false" applyFill="false" applyFont="true" applyNumberFormat="false" applyProtection="false" borderId="10" fillId="0" fontId="13" numFmtId="0" xfId="0">
      <alignment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0" fillId="0" fontId="14" numFmtId="0" xfId="0">
      <alignment vertical="center" wrapText="true"/>
    </xf>
    <xf applyAlignment="true" applyBorder="false" applyFill="false" applyFont="true" applyNumberFormat="false" applyProtection="false" borderId="10" fillId="0" fontId="14" numFmtId="0" xfId="0">
      <alignment vertical="center" wrapText="true"/>
    </xf>
    <xf applyAlignment="true" applyBorder="false" applyFill="true" applyFont="true" applyNumberFormat="false" applyProtection="false" borderId="11" fillId="10" fontId="15" numFmtId="0" xfId="0">
      <alignment vertical="top"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1" fillId="0" fontId="13" numFmtId="0" xfId="0">
      <alignment vertical="top" wrapText="true"/>
    </xf>
    <xf applyAlignment="true" applyBorder="false" applyFill="false" applyFont="true" applyNumberFormat="false" applyProtection="false" borderId="11" fillId="0" fontId="13" numFmtId="0" xfId="0">
      <alignment vertical="top" wrapText="true"/>
    </xf>
    <xf applyAlignment="true" applyBorder="false" applyFill="false" applyFont="true" applyNumberFormat="false" applyProtection="false" borderId="11" fillId="0" fontId="5" numFmtId="0" xfId="0">
      <alignment vertical="center" wrapText="true"/>
    </xf>
    <xf applyAlignment="true" applyBorder="false" applyFill="false" applyFont="true" applyNumberFormat="false" applyProtection="false" borderId="11" fillId="0" fontId="2" numFmtId="0" xfId="0">
      <alignment vertical="center"/>
    </xf>
    <xf applyAlignment="true" applyBorder="false" applyFill="false" applyFont="true" applyNumberFormat="false" applyProtection="false" borderId="11" fillId="0" fontId="2"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11" fontId="1" numFmtId="0" xfId="0">
      <alignment vertical="center"/>
    </xf>
    <xf applyAlignment="true" applyBorder="false" applyFill="true" applyFont="true" applyNumberFormat="false" applyProtection="false" borderId="11" fillId="10" fontId="15" numFmtId="0" xfId="0">
      <alignment vertical="top" wrapText="true"/>
    </xf>
    <xf applyAlignment="true" applyBorder="false" applyFill="true" applyFont="true" applyNumberFormat="false" applyProtection="false" borderId="11" fillId="10" fontId="13" numFmtId="0" xfId="0">
      <alignment vertical="top" wrapText="true"/>
    </xf>
    <xf applyAlignment="true" applyBorder="false" applyFill="true" applyFont="true" applyNumberFormat="false" applyProtection="false" borderId="11" fillId="10" fontId="15" numFmtId="0" xfId="0">
      <alignment vertical="top" wrapText="true"/>
    </xf>
    <xf applyAlignment="true" applyBorder="false" applyFill="true" applyFont="true" applyNumberFormat="false" applyProtection="false" borderId="11" fillId="10" fontId="13" numFmtId="0" xfId="0">
      <alignment vertical="top" wrapText="true"/>
    </xf>
    <xf applyAlignment="true" applyBorder="false" applyFill="false" applyFont="true" applyNumberFormat="false" applyProtection="false" borderId="11" fillId="0" fontId="13" numFmtId="0" xfId="0">
      <alignment vertical="top" wrapText="true"/>
    </xf>
    <xf applyAlignment="true" applyBorder="false" applyFill="true" applyFont="true" applyNumberFormat="false" applyProtection="false" borderId="11" fillId="12" fontId="4" numFmtId="0" xfId="0">
      <alignment vertical="top" wrapText="true"/>
    </xf>
    <xf applyAlignment="true" applyBorder="false" applyFill="true" applyFont="true" applyNumberFormat="false" applyProtection="false" borderId="11" fillId="12" fontId="4" numFmtId="0" xfId="0">
      <alignment vertical="top" wrapText="true"/>
    </xf>
    <xf applyAlignment="true" applyBorder="false" applyFill="false" applyFont="true" applyNumberFormat="false" applyProtection="false" borderId="11" fillId="0" fontId="13" numFmtId="0" xfId="0">
      <alignment vertical="top" wrapText="true"/>
    </xf>
    <xf applyAlignment="true" applyBorder="false" applyFill="true" applyFont="true" applyNumberFormat="false" applyProtection="false" borderId="11" fillId="11" fontId="1"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2" fillId="13" fontId="4" numFmtId="0" xfId="0">
      <alignment horizontal="center" vertical="center"/>
    </xf>
    <xf applyAlignment="true" applyBorder="false" applyFill="true" applyFont="true" applyNumberFormat="false" applyProtection="false" borderId="12" fillId="13" fontId="4" numFmtId="0" xfId="0">
      <alignment vertical="center"/>
    </xf>
    <xf applyAlignment="true" applyBorder="false" applyFill="true" applyFont="true" applyNumberFormat="false" applyProtection="false" borderId="12" fillId="13" fontId="4" numFmtId="0" xfId="0">
      <alignment vertical="center"/>
    </xf>
    <xf applyAlignment="true" applyBorder="false" applyFill="false" applyFont="true" applyNumberFormat="false" applyProtection="false" borderId="12" fillId="0" fontId="2" numFmtId="0" xfId="0">
      <alignment horizontal="center" vertical="center"/>
    </xf>
    <xf applyAlignment="true" applyBorder="false" applyFill="false" applyFont="true" applyNumberFormat="false" applyProtection="false" borderId="12" fillId="0" fontId="13" numFmtId="0" xfId="0">
      <alignment vertical="center" wrapText="true"/>
    </xf>
    <xf applyAlignment="true" applyBorder="false" applyFill="false" applyFont="true" applyNumberFormat="false" applyProtection="false" borderId="12"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12" fillId="0" fontId="2" numFmtId="0" xfId="0">
      <alignment vertical="center"/>
    </xf>
    <xf applyAlignment="true" applyBorder="false" applyFill="false" applyFont="true" applyNumberFormat="false" applyProtection="false" borderId="13" fillId="0" fontId="16" numFmtId="0" xfId="0">
      <alignment vertical="bottom" wrapText="true"/>
    </xf>
    <xf applyAlignment="true" applyBorder="false" applyFill="true" applyFont="true" applyNumberFormat="false" applyProtection="false" borderId="14" fillId="14" fontId="17" numFmtId="0" xfId="0">
      <alignment vertical="bottom" wrapText="true"/>
    </xf>
    <xf applyAlignment="true" applyBorder="false" applyFill="true" applyFont="true" applyNumberFormat="false" applyProtection="false" borderId="14" fillId="14" fontId="17" numFmtId="0" xfId="0">
      <alignment vertical="bottom" wrapText="true"/>
    </xf>
    <xf applyAlignment="true" applyBorder="false" applyFill="true" applyFont="true" applyNumberFormat="false" applyProtection="false" borderId="14" fillId="14" fontId="17" numFmtId="0" xfId="0">
      <alignment horizontal="center" vertical="bottom" wrapText="true"/>
    </xf>
    <xf applyAlignment="true" applyBorder="false" applyFill="false" applyFont="true" applyNumberFormat="false" applyProtection="false" borderId="14" fillId="0" fontId="18" numFmtId="0" xfId="0">
      <alignment vertical="top" wrapText="true"/>
    </xf>
    <xf applyAlignment="true" applyBorder="false" applyFill="false" applyFont="true" applyNumberFormat="true" applyProtection="false" borderId="14" fillId="0" fontId="18" numFmtId="171" xfId="0">
      <alignment horizontal="right" vertical="top" wrapText="true"/>
    </xf>
    <xf applyAlignment="true" applyBorder="false" applyFill="false" applyFont="true" applyNumberFormat="false" applyProtection="false" borderId="14" fillId="0" fontId="16" numFmtId="0" xfId="0">
      <alignment horizontal="center" vertical="center" wrapText="true"/>
    </xf>
    <xf applyAlignment="true" applyBorder="false" applyFill="false" applyFont="true" applyNumberFormat="true" applyProtection="false" borderId="14" fillId="0" fontId="18" numFmtId="171" xfId="0">
      <alignment horizontal="center" vertical="top" wrapText="true"/>
    </xf>
    <xf applyAlignment="true" applyBorder="false" applyFill="false" applyFont="true" applyNumberFormat="false" applyProtection="false" borderId="14" fillId="0" fontId="16" numFmtId="0" xfId="0">
      <alignment vertical="bottom" wrapText="true"/>
    </xf>
    <xf applyAlignment="true" applyBorder="false" applyFill="false" applyFont="true" applyNumberFormat="true" applyProtection="false" borderId="14" fillId="0" fontId="18" numFmtId="171" xfId="0">
      <alignment horizontal="center" vertical="top" wrapText="true"/>
    </xf>
    <xf applyAlignment="true" applyBorder="false" applyFill="false" applyFont="true" applyNumberFormat="true" applyProtection="false" borderId="14" fillId="0" fontId="18" numFmtId="171" xfId="0">
      <alignment horizontal="right" vertical="top" wrapText="true"/>
    </xf>
    <xf applyAlignment="true" applyBorder="false" applyFill="false" applyFont="true" applyNumberFormat="false" applyProtection="false" borderId="14" fillId="0" fontId="16" numFmtId="0" xfId="0">
      <alignment vertical="top" wrapText="true"/>
    </xf>
    <xf applyAlignment="true" applyBorder="false" applyFill="false" applyFont="true" applyNumberFormat="true" applyProtection="false" borderId="14" fillId="0" fontId="16" numFmtId="171" xfId="0">
      <alignment horizontal="right" vertical="bottom" wrapText="true"/>
    </xf>
    <xf applyAlignment="true" applyBorder="false" applyFill="true" applyFont="true" applyNumberFormat="false" applyProtection="false" borderId="14" fillId="15" fontId="19" numFmtId="0" xfId="0">
      <alignment vertical="bottom" wrapText="true"/>
    </xf>
    <xf applyAlignment="true" applyBorder="false" applyFill="true" applyFont="true" applyNumberFormat="false" applyProtection="false" borderId="14" fillId="15" fontId="19" numFmtId="0" xfId="0">
      <alignment horizontal="right" vertical="bottom"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arget="https://matkinhtamduc.sg.larksuite.com/wiki/LfYhwdA14igHWQkTaGRloCFcgIe?fromScene=spaceOverview"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2" defaultRowHeight="18"/>
  <cols>
    <col collapsed="false" customWidth="true" hidden="false" max="1" min="1" style="0" width="25"/>
  </cols>
  <sheetData>
    <row r="1">
      <c r="A1" s="1" t="s">
        <v>1</v>
      </c>
      <c r="B1" s="1"/>
      <c r="C1" s="1"/>
      <c r="D1" s="2"/>
    </row>
    <row r="2">
      <c r="A2" s="1" t="s">
        <v>2</v>
      </c>
      <c r="B2" s="3" t="s">
        <v>3</v>
      </c>
      <c r="C2" s="3"/>
      <c r="D2" s="2"/>
    </row>
    <row r="3">
      <c r="A3" s="1" t="s">
        <v>4</v>
      </c>
      <c r="B3" s="4">
        <v>46240</v>
      </c>
      <c r="C3" s="4">
        <v>46271</v>
      </c>
      <c r="D3" s="2"/>
    </row>
    <row r="4">
      <c r="A4" s="1" t="s">
        <v>5</v>
      </c>
      <c r="B4" s="1"/>
      <c r="C4" s="2"/>
      <c r="D4" s="2"/>
    </row>
    <row r="5">
      <c r="A5" s="5" t="s">
        <v>6</v>
      </c>
      <c r="B5" s="5"/>
      <c r="C5" s="2"/>
      <c r="D5" s="2"/>
    </row>
    <row r="6">
      <c r="A6" s="6" t="s">
        <v>7</v>
      </c>
      <c r="B6" s="6"/>
      <c r="C6" s="2"/>
      <c r="D6" s="2"/>
    </row>
    <row r="7">
      <c r="A7" s="6" t="s">
        <v>8</v>
      </c>
      <c r="B7" s="6"/>
      <c r="C7" s="2"/>
      <c r="D7" s="2"/>
    </row>
    <row r="8">
      <c r="A8" s="6" t="s">
        <v>9</v>
      </c>
      <c r="B8" s="6"/>
      <c r="C8" s="2"/>
      <c r="D8" s="2"/>
    </row>
    <row r="9">
      <c r="A9" s="6" t="s">
        <v>10</v>
      </c>
      <c r="B9" s="6"/>
      <c r="C9" s="2"/>
      <c r="D9" s="2"/>
    </row>
    <row r="10">
      <c r="A10" s="5" t="s">
        <v>11</v>
      </c>
      <c r="B10" s="5"/>
      <c r="C10" s="2"/>
      <c r="D10" s="2"/>
    </row>
    <row r="11">
      <c r="A11" s="6" t="s">
        <v>12</v>
      </c>
      <c r="B11" s="6"/>
      <c r="C11" s="2"/>
      <c r="D11" s="2"/>
    </row>
    <row r="12">
      <c r="A12" s="6" t="s">
        <v>13</v>
      </c>
      <c r="B12" s="6"/>
      <c r="C12" s="2"/>
      <c r="D12" s="2"/>
    </row>
    <row r="13">
      <c r="A13" s="6" t="s">
        <v>14</v>
      </c>
      <c r="B13" s="6"/>
      <c r="C13" s="2"/>
      <c r="D13" s="2"/>
    </row>
    <row r="14">
      <c r="A14" s="6" t="s">
        <v>15</v>
      </c>
      <c r="B14" s="6"/>
      <c r="C14" s="2"/>
      <c r="D14" s="2"/>
    </row>
    <row r="15">
      <c r="A15" s="2"/>
      <c r="B15" s="2"/>
      <c r="C15" s="2"/>
    </row>
  </sheetData>
  <mergeCells>
    <mergeCell ref="A1:C1"/>
    <mergeCell ref="A4:B4"/>
    <mergeCell ref="A5:B5"/>
    <mergeCell ref="A6:B6"/>
    <mergeCell ref="A7:B7"/>
    <mergeCell ref="A8:B8"/>
    <mergeCell ref="A9:B9"/>
    <mergeCell ref="A10:B10"/>
    <mergeCell ref="A11:B11"/>
    <mergeCell ref="A12:B12"/>
    <mergeCell ref="A14:B14"/>
    <mergeCell ref="A13:B13"/>
    <mergeCell ref="B2:C2"/>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61"/>
    <col collapsed="false" customWidth="true" hidden="false" max="2" min="2" style="0" width="61"/>
    <col collapsed="false" customWidth="true" hidden="false" max="3" min="3" style="0" width="61"/>
  </cols>
  <sheetData>
    <row r="1">
      <c r="A1" s="7" t="s">
        <v>16</v>
      </c>
      <c r="B1" s="7" t="s">
        <v>17</v>
      </c>
      <c r="C1" s="8" t="s">
        <v>18</v>
      </c>
    </row>
    <row r="2">
      <c r="A2" s="9" t="s">
        <v>19</v>
      </c>
      <c r="B2" s="10" t="s">
        <v>20</v>
      </c>
      <c r="C2" s="9" t="s">
        <v>21</v>
      </c>
    </row>
    <row customHeight="true" ht="18" r="3">
      <c r="C3" s="11"/>
    </row>
    <row customHeight="true" ht="18" r="4">
      <c r="A4" s="12" t="s">
        <v>22</v>
      </c>
      <c r="B4" s="12"/>
      <c r="C4" s="12"/>
    </row>
    <row r="5">
      <c r="A5" s="7" t="s">
        <v>23</v>
      </c>
      <c r="B5" s="8" t="s">
        <v>24</v>
      </c>
      <c r="C5" s="7" t="s">
        <v>25</v>
      </c>
    </row>
    <row r="6">
      <c r="A6" s="13" t="s">
        <v>26</v>
      </c>
      <c r="B6" s="14"/>
      <c r="C6" s="15" t="s">
        <v>27</v>
      </c>
    </row>
    <row r="7">
      <c r="A7" s="13"/>
      <c r="B7" s="9"/>
      <c r="C7" s="16" t="s">
        <v>28</v>
      </c>
    </row>
    <row r="8">
      <c r="A8" s="13"/>
      <c r="B8" s="9"/>
      <c r="C8" s="16" t="s">
        <v>29</v>
      </c>
    </row>
    <row r="9">
      <c r="A9" s="13"/>
      <c r="B9" s="9"/>
      <c r="C9" s="15" t="s">
        <v>30</v>
      </c>
    </row>
    <row r="10">
      <c r="A10" s="10" t="s">
        <v>31</v>
      </c>
      <c r="B10" s="17" t="s">
        <v>32</v>
      </c>
      <c r="C10" s="18" t="s">
        <v>33</v>
      </c>
    </row>
    <row customHeight="true" ht="30" r="11">
      <c r="A11" s="10"/>
      <c r="B11" s="17" t="s">
        <v>34</v>
      </c>
      <c r="C11" s="16" t="s">
        <v>35</v>
      </c>
    </row>
    <row r="12"/>
    <row r="13">
      <c r="A13" s="12" t="s">
        <v>36</v>
      </c>
      <c r="B13" s="12"/>
    </row>
    <row r="14">
      <c r="A14" s="7" t="s">
        <v>23</v>
      </c>
      <c r="B14" s="8" t="s">
        <v>24</v>
      </c>
      <c r="C14" s="7" t="s">
        <v>25</v>
      </c>
    </row>
    <row customHeight="true" ht="18" r="15">
      <c r="A15" s="10" t="s">
        <v>37</v>
      </c>
      <c r="B15" s="9"/>
      <c r="C15" s="16" t="s">
        <v>38</v>
      </c>
    </row>
    <row customHeight="true" ht="18" r="16">
      <c r="A16" s="10"/>
      <c r="B16" s="9"/>
      <c r="C16" s="16" t="s">
        <v>39</v>
      </c>
    </row>
    <row customHeight="true" ht="18" r="17">
      <c r="A17" s="10"/>
      <c r="B17" s="9"/>
      <c r="C17" s="16" t="s">
        <v>40</v>
      </c>
    </row>
    <row r="18">
      <c r="A18" s="10"/>
      <c r="B18" s="9"/>
      <c r="C18" s="15" t="s">
        <v>41</v>
      </c>
    </row>
    <row customHeight="true" ht="18" r="19"/>
    <row r="20">
      <c r="A20" s="12" t="s">
        <v>42</v>
      </c>
      <c r="B20" s="12"/>
    </row>
    <row r="21">
      <c r="A21" s="7" t="s">
        <v>23</v>
      </c>
      <c r="B21" s="8" t="s">
        <v>24</v>
      </c>
      <c r="C21" s="7" t="s">
        <v>25</v>
      </c>
    </row>
    <row r="22">
      <c r="A22" s="13" t="s">
        <v>26</v>
      </c>
      <c r="B22" s="9"/>
      <c r="C22" s="16" t="s">
        <v>38</v>
      </c>
    </row>
    <row r="23">
      <c r="A23" s="13"/>
      <c r="B23" s="9"/>
      <c r="C23" s="16" t="s">
        <v>39</v>
      </c>
    </row>
    <row r="24">
      <c r="A24" s="13"/>
      <c r="B24" s="9"/>
      <c r="C24" s="16" t="s">
        <v>40</v>
      </c>
    </row>
    <row r="25">
      <c r="A25" s="13"/>
      <c r="B25" s="9"/>
      <c r="C25" s="15" t="s">
        <v>41</v>
      </c>
    </row>
    <row r="26"/>
    <row r="27">
      <c r="A27" s="11"/>
      <c r="B27" s="11"/>
    </row>
    <row r="28">
      <c r="A28" s="19" t="s">
        <v>17</v>
      </c>
      <c r="B28" s="19" t="s">
        <v>43</v>
      </c>
      <c r="C28" s="20"/>
    </row>
    <row r="29">
      <c r="A29" s="21" t="s">
        <v>44</v>
      </c>
      <c r="B29" s="21" t="s">
        <v>45</v>
      </c>
      <c r="C29" s="20"/>
    </row>
    <row r="30">
      <c r="A30" s="21" t="s">
        <v>46</v>
      </c>
      <c r="B30" s="21" t="s">
        <v>47</v>
      </c>
      <c r="C30" s="20"/>
    </row>
    <row r="31">
      <c r="A31" s="21" t="s">
        <v>48</v>
      </c>
      <c r="B31" s="21" t="s">
        <v>49</v>
      </c>
      <c r="C31" s="20"/>
    </row>
    <row r="32">
      <c r="A32" s="21" t="s">
        <v>50</v>
      </c>
      <c r="B32" s="21" t="s">
        <v>51</v>
      </c>
      <c r="C32" s="20"/>
    </row>
    <row r="33">
      <c r="B33" s="22"/>
      <c r="C33" s="23"/>
    </row>
    <row r="34">
      <c r="A34" s="24" t="s">
        <v>17</v>
      </c>
      <c r="B34" s="24" t="s">
        <v>43</v>
      </c>
    </row>
    <row r="35">
      <c r="A35" s="25" t="s">
        <v>52</v>
      </c>
      <c r="B35" s="26"/>
    </row>
    <row r="36">
      <c r="A36" s="26" t="s">
        <v>44</v>
      </c>
      <c r="B36" s="26" t="s">
        <v>45</v>
      </c>
    </row>
    <row r="37">
      <c r="A37" s="26" t="s">
        <v>46</v>
      </c>
      <c r="B37" s="26" t="s">
        <v>47</v>
      </c>
    </row>
    <row r="38">
      <c r="A38" s="26" t="s">
        <v>48</v>
      </c>
      <c r="B38" s="26" t="s">
        <v>49</v>
      </c>
    </row>
    <row r="39">
      <c r="A39" s="26" t="s">
        <v>50</v>
      </c>
      <c r="B39" s="26" t="s">
        <v>51</v>
      </c>
    </row>
    <row r="40">
      <c r="A40" s="27" t="s">
        <v>53</v>
      </c>
      <c r="B40" s="28"/>
    </row>
    <row r="41">
      <c r="A41" s="29" t="s">
        <v>54</v>
      </c>
      <c r="B41" s="30" t="s">
        <v>20</v>
      </c>
    </row>
    <row r="42">
      <c r="A42" s="25" t="s">
        <v>55</v>
      </c>
      <c r="B42" s="26" t="s">
        <v>26</v>
      </c>
    </row>
    <row r="43">
      <c r="A43" s="26" t="s">
        <v>56</v>
      </c>
      <c r="B43" s="26" t="s">
        <v>57</v>
      </c>
    </row>
    <row r="44">
      <c r="A44" s="26" t="s">
        <v>58</v>
      </c>
      <c r="B44" s="26" t="s">
        <v>59</v>
      </c>
    </row>
    <row r="45">
      <c r="A45" s="26" t="s">
        <v>60</v>
      </c>
      <c r="B45" s="26" t="s">
        <v>61</v>
      </c>
    </row>
    <row r="46">
      <c r="A46" s="26" t="s">
        <v>62</v>
      </c>
      <c r="B46" s="26" t="s">
        <v>63</v>
      </c>
    </row>
    <row r="47">
      <c r="A47" s="26" t="s">
        <v>64</v>
      </c>
      <c r="B47" s="26" t="s">
        <v>65</v>
      </c>
    </row>
    <row r="48">
      <c r="A48" s="25" t="s">
        <v>66</v>
      </c>
      <c r="B48" s="25" t="s">
        <v>67</v>
      </c>
      <c r="C48" s="31"/>
    </row>
    <row r="49">
      <c r="A49" s="26" t="s">
        <v>68</v>
      </c>
      <c r="B49" s="26" t="s">
        <v>69</v>
      </c>
    </row>
    <row r="50"/>
    <row r="51"/>
    <row r="52">
      <c r="A52" s="32" t="s">
        <v>70</v>
      </c>
      <c r="B52" s="32"/>
    </row>
    <row r="53">
      <c r="A53" s="26" t="s">
        <v>71</v>
      </c>
      <c r="B53" s="26" t="s">
        <v>72</v>
      </c>
    </row>
    <row r="54">
      <c r="A54" s="26" t="s">
        <v>73</v>
      </c>
      <c r="B54" s="26" t="s">
        <v>74</v>
      </c>
    </row>
    <row r="55">
      <c r="A55" s="26" t="s">
        <v>75</v>
      </c>
      <c r="B55" s="26" t="s">
        <v>76</v>
      </c>
    </row>
    <row r="56">
      <c r="A56" s="26" t="s">
        <v>77</v>
      </c>
      <c r="B56" s="26" t="s">
        <v>78</v>
      </c>
    </row>
    <row r="57">
      <c r="A57" s="26" t="s">
        <v>79</v>
      </c>
      <c r="B57" s="26" t="s">
        <v>80</v>
      </c>
    </row>
    <row r="58">
      <c r="A58" s="26" t="s">
        <v>81</v>
      </c>
      <c r="B58" s="26" t="s">
        <v>82</v>
      </c>
    </row>
    <row r="59">
      <c r="A59" s="26" t="s">
        <v>83</v>
      </c>
      <c r="B59" s="26" t="s">
        <v>84</v>
      </c>
    </row>
  </sheetData>
  <mergeCells>
    <mergeCell ref="A52:B52"/>
    <mergeCell ref="A10:A11"/>
    <mergeCell ref="A13:B13"/>
    <mergeCell ref="A22:A25"/>
    <mergeCell ref="A20:B20"/>
    <mergeCell ref="A15:A18"/>
    <mergeCell ref="A4:C4"/>
    <mergeCell ref="A6:A9"/>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43"/>
    <col collapsed="false" customWidth="true" hidden="false" max="2" min="2" style="0" width="55"/>
  </cols>
  <sheetData>
    <row customHeight="true" ht="18" r="1">
      <c r="A1" s="33"/>
      <c r="B1" s="34"/>
      <c r="C1" s="35" t="s">
        <v>85</v>
      </c>
      <c r="D1" s="36"/>
    </row>
    <row r="2">
      <c r="A2" s="33" t="s">
        <v>86</v>
      </c>
      <c r="B2" s="34" t="s">
        <v>87</v>
      </c>
      <c r="C2" s="34">
        <v>0</v>
      </c>
      <c r="D2" s="36"/>
    </row>
    <row customHeight="true" ht="24" r="3">
      <c r="A3" s="33"/>
      <c r="B3" s="34" t="s">
        <v>88</v>
      </c>
      <c r="C3" s="34">
        <v>0</v>
      </c>
      <c r="D3" s="36"/>
    </row>
    <row r="4">
      <c r="A4" s="33"/>
      <c r="B4" s="34" t="s">
        <v>89</v>
      </c>
      <c r="C4" s="34">
        <v>0</v>
      </c>
      <c r="D4" s="36"/>
    </row>
    <row r="5">
      <c r="A5" s="33"/>
      <c r="B5" s="34" t="s">
        <v>90</v>
      </c>
      <c r="C5" s="34">
        <v>0</v>
      </c>
      <c r="D5" s="36"/>
    </row>
    <row r="6">
      <c r="A6" s="33"/>
      <c r="B6" s="34" t="s">
        <v>91</v>
      </c>
      <c r="C6" s="34">
        <v>0</v>
      </c>
      <c r="D6" s="36"/>
    </row>
    <row r="7">
      <c r="A7" s="33"/>
      <c r="B7" s="34" t="s">
        <v>92</v>
      </c>
      <c r="C7" s="34">
        <v>0</v>
      </c>
      <c r="D7" s="36"/>
    </row>
    <row r="8">
      <c r="A8" s="33"/>
      <c r="B8" s="37" t="s">
        <v>93</v>
      </c>
      <c r="C8" s="34">
        <v>0</v>
      </c>
      <c r="D8" s="36"/>
    </row>
    <row r="9">
      <c r="A9" s="33" t="s">
        <v>94</v>
      </c>
      <c r="B9" s="38" t="s">
        <v>95</v>
      </c>
      <c r="C9" s="34">
        <v>0</v>
      </c>
      <c r="D9" s="36"/>
    </row>
    <row r="10">
      <c r="A10" s="33"/>
      <c r="B10" s="38" t="s">
        <v>96</v>
      </c>
      <c r="C10" s="34">
        <v>0</v>
      </c>
      <c r="D10" s="36"/>
    </row>
    <row r="11">
      <c r="A11" s="33"/>
      <c r="B11" s="38" t="s">
        <v>97</v>
      </c>
      <c r="C11" s="34">
        <v>0</v>
      </c>
      <c r="D11" s="36"/>
    </row>
    <row r="12">
      <c r="A12" s="33"/>
      <c r="B12" s="38" t="s">
        <v>98</v>
      </c>
      <c r="C12" s="34">
        <v>0</v>
      </c>
      <c r="D12" s="36"/>
    </row>
    <row r="13">
      <c r="A13" s="33"/>
      <c r="B13" s="38" t="s">
        <v>99</v>
      </c>
      <c r="C13" s="34">
        <v>0</v>
      </c>
      <c r="D13" s="36"/>
    </row>
    <row r="14">
      <c r="A14" s="33"/>
      <c r="B14" s="38" t="s">
        <v>100</v>
      </c>
      <c r="C14" s="34">
        <v>0</v>
      </c>
      <c r="D14" s="36"/>
    </row>
    <row r="15">
      <c r="A15" s="36"/>
      <c r="B15" s="36"/>
      <c r="C15" s="36"/>
    </row>
  </sheetData>
  <mergeCells>
    <mergeCell ref="A2:A8"/>
    <mergeCell ref="A9:A14"/>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25"/>
    <col collapsed="false" customWidth="true" hidden="false" max="2" min="2" style="0" width="9"/>
    <col collapsed="false" customWidth="true" hidden="false" max="3" min="3" style="0" width="30"/>
  </cols>
  <sheetData>
    <row r="1">
      <c r="A1" s="39" t="s">
        <v>101</v>
      </c>
      <c r="B1" s="40"/>
      <c r="C1" s="41"/>
    </row>
    <row customHeight="true" ht="18" r="2">
      <c r="A2" s="42" t="s">
        <v>102</v>
      </c>
      <c r="B2" s="42" t="s">
        <v>103</v>
      </c>
      <c r="C2" s="40"/>
      <c r="D2" s="41"/>
    </row>
    <row r="3">
      <c r="A3" s="43" t="s">
        <v>104</v>
      </c>
      <c r="B3" s="44">
        <v>46240</v>
      </c>
      <c r="C3" s="40"/>
      <c r="D3" s="41"/>
    </row>
    <row r="4">
      <c r="A4" s="45" t="s">
        <v>105</v>
      </c>
      <c r="B4" s="46">
        <v>46254</v>
      </c>
      <c r="C4" s="47"/>
    </row>
    <row r="5">
      <c r="A5" s="45" t="s">
        <v>106</v>
      </c>
      <c r="B5" s="44">
        <v>46265</v>
      </c>
      <c r="C5" s="47"/>
    </row>
    <row r="6">
      <c r="A6" s="45" t="s">
        <v>107</v>
      </c>
      <c r="B6" s="44">
        <v>46268</v>
      </c>
      <c r="C6" s="48"/>
    </row>
    <row r="7">
      <c r="A7" s="45" t="s">
        <v>108</v>
      </c>
      <c r="B7" s="44">
        <v>46271</v>
      </c>
      <c r="C7" s="47"/>
    </row>
    <row r="8">
      <c r="A8" s="45" t="s">
        <v>109</v>
      </c>
      <c r="B8" s="44">
        <v>46276</v>
      </c>
      <c r="C8" s="47"/>
    </row>
    <row r="9">
      <c r="A9" s="47"/>
      <c r="B9" s="47"/>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124b0c"/>
    <outlinePr summaryBelow="false" summaryRight="false"/>
  </sheetPr>
  <dimension ref="A1"/>
  <sheetViews>
    <sheetView showGridLines="false" workbookViewId="0"/>
  </sheetViews>
  <sheetFormatPr defaultColWidth="12" defaultRowHeight="18"/>
  <cols>
    <col collapsed="false" customWidth="true" hidden="false" max="2" min="2" style="0" width="31"/>
    <col collapsed="false" customWidth="true" hidden="false" max="4" min="4" style="0" width="18"/>
    <col collapsed="false" customWidth="true" hidden="false" max="6" min="6" style="0" width="19"/>
    <col collapsed="false" customWidth="true" hidden="false" max="8" min="8" style="0" width="13"/>
    <col collapsed="false" customWidth="true" hidden="false" max="1" min="1" style="0" width="6"/>
    <col collapsed="false" customWidth="true" hidden="false" max="3" min="3" style="0" width="36"/>
    <col collapsed="false" customWidth="true" hidden="false" max="5" min="5" style="0" width="17"/>
    <col collapsed="false" customWidth="true" hidden="false" max="7" min="7" style="0" width="24"/>
    <col collapsed="false" customWidth="true" hidden="false" max="9" min="9" style="0" width="18"/>
  </cols>
  <sheetData>
    <row customHeight="true" ht="18" r="1">
      <c r="B1" s="49"/>
      <c r="C1" s="50"/>
      <c r="D1" s="50"/>
      <c r="E1" s="50"/>
      <c r="F1" s="50"/>
      <c r="G1" s="50"/>
      <c r="I1" s="51"/>
    </row>
    <row customHeight="true" ht="18" r="2">
      <c r="A2" s="50"/>
      <c r="B2" s="52"/>
      <c r="C2" s="53" t="s">
        <v>110</v>
      </c>
      <c r="D2" s="53" t="s">
        <v>111</v>
      </c>
      <c r="E2" s="53" t="s">
        <v>112</v>
      </c>
      <c r="F2" s="53" t="s">
        <v>113</v>
      </c>
      <c r="G2" s="54" t="s">
        <v>114</v>
      </c>
      <c r="H2" s="50"/>
      <c r="I2" s="51"/>
    </row>
    <row r="3">
      <c r="A3" s="50"/>
      <c r="B3" s="55" t="s">
        <v>115</v>
      </c>
      <c r="C3" s="56">
        <f>COUNTIFS($E$11:$E$75, "*" &amp; C$2 &amp; "*")</f>
      </c>
      <c r="D3" s="56">
        <f>COUNTIFS($E$11:$E$75, "*" &amp; D$2 &amp; "*")</f>
      </c>
      <c r="E3" s="56">
        <f>COUNTIFS($E$11:$E$75, "*" &amp; E$2 &amp; "*")</f>
      </c>
      <c r="F3" s="56">
        <f>COUNTIFS($E$11:$E$75, "*" &amp; F$2 &amp; "*")</f>
      </c>
      <c r="G3" s="56">
        <f>COUNTIFS($E$11:$E$75, "*" &amp; G$2 &amp; "*")</f>
      </c>
      <c r="H3" s="50"/>
      <c r="I3" s="51"/>
    </row>
    <row r="4">
      <c r="A4" s="50"/>
      <c r="B4" s="55" t="s">
        <v>116</v>
      </c>
      <c r="C4" s="52">
        <f>COUNTIFS($E$11:$E$75, "*" &amp; C$2 &amp; "*", $I$11:$I$75, "Hoàn thành")</f>
      </c>
      <c r="D4" s="52">
        <f>COUNTIFS($E$11:$E$75, "*" &amp; D$2 &amp; "*", $I$11:$I$75, "Hoàn thành")</f>
      </c>
      <c r="E4" s="52">
        <f>COUNTIFS($E$11:$E$75, "*" &amp; E$2 &amp; "*", $I$11:$I$75, "Hoàn thành")</f>
      </c>
      <c r="F4" s="52">
        <f>COUNTIFS($E$11:$E$75, "*" &amp; F$2 &amp; "*", $I$11:$I$75, "Hoàn thành")</f>
      </c>
      <c r="G4" s="52">
        <f>COUNTIFS($E$11:$E$75, "*" &amp; G$2 &amp; "*", $I$11:$I$75, "Hoàn thành")</f>
      </c>
      <c r="H4" s="50"/>
      <c r="I4" s="51"/>
    </row>
    <row customHeight="true" ht="18" r="5">
      <c r="A5" s="50"/>
      <c r="B5" s="55" t="s">
        <v>117</v>
      </c>
      <c r="C5" s="52">
        <f>COUNTIFS($E$11:$E$75, "*" &amp; C$2 &amp; "*", $I$11:$I$75, "Đang Làm")</f>
      </c>
      <c r="D5" s="52">
        <f>COUNTIFS($E$11:$E$75, "*" &amp; D$2 &amp; "*", $I$11:$I$75, "Đang Làm")</f>
      </c>
      <c r="E5" s="52">
        <f>COUNTIFS($E$11:$E$75, "*" &amp; E$2 &amp; "*", $I$11:$I$75, "Đang Làm")</f>
      </c>
      <c r="F5" s="52">
        <f>COUNTIFS($E$11:$E$75, "*" &amp; F$2 &amp; "*", $I$11:$I$75, "Đang Làm")</f>
      </c>
      <c r="G5" s="52">
        <f>COUNTIFS($E$11:$E$75, "*" &amp; G$2 &amp; "*", $I$11:$I$75, "Đang Làm")</f>
      </c>
      <c r="H5" s="50"/>
      <c r="I5" s="51"/>
    </row>
    <row r="6">
      <c r="A6" s="50"/>
      <c r="B6" s="55" t="s">
        <v>118</v>
      </c>
      <c r="C6" s="52">
        <f>COUNTIFS($E$11:$E$75, "*" &amp; C$2 &amp; "*", $I$11:$I$75, "Đợi duyệt")</f>
      </c>
      <c r="D6" s="52">
        <f>COUNTIFS($E$11:$E$75, "*" &amp; D$2 &amp; "*", $I$11:$I$75, "Đợi duyệt")</f>
      </c>
      <c r="E6" s="52">
        <f>COUNTIFS($E$11:$E$75, "*" &amp; E$2 &amp; "*", $I$11:$I$75, "Đợi duyệt")</f>
      </c>
      <c r="F6" s="52">
        <f>COUNTIFS($E$11:$E$75, "*" &amp; F$2 &amp; "*", $I$11:$I$75, "Đợi duyệt")</f>
      </c>
      <c r="G6" s="52">
        <f>COUNTIFS($E$11:$E$75, "*" &amp; G$2 &amp; "*", $I$11:$I$75, "Đợi duyệt")</f>
      </c>
      <c r="H6" s="50"/>
      <c r="I6" s="51"/>
    </row>
    <row r="7">
      <c r="A7" s="50"/>
      <c r="B7" s="55" t="s">
        <v>119</v>
      </c>
      <c r="C7" s="52">
        <f>COUNTIFS($E$11:$E$75, "*" &amp; C$2 &amp; "*", $I$11:$I$75, "Kế hoạch")</f>
      </c>
      <c r="D7" s="52">
        <f>COUNTIFS($E$11:$E$75, "*" &amp; D$2 &amp; "*", $I$11:$I$75, "Kế hoạch")</f>
      </c>
      <c r="E7" s="52">
        <f>COUNTIFS($E$11:$E$75, "*" &amp; E$2 &amp; "*", $I$11:$I$75, "Kế hoạch")</f>
      </c>
      <c r="F7" s="52">
        <f>COUNTIFS($E$11:$E$75, "*" &amp; F$2 &amp; "*", $I$11:$I$75, "Kế hoạch")</f>
      </c>
      <c r="G7" s="52">
        <f>COUNTIFS($E$11:$E$75, "*" &amp; G$2 &amp; "*", $I$11:$I$75, "Kế hoạch")</f>
      </c>
      <c r="H7" s="50"/>
      <c r="I7" s="51"/>
    </row>
    <row customHeight="true" ht="39" r="8">
      <c r="B8" s="50"/>
      <c r="C8" s="50"/>
      <c r="D8" s="50"/>
      <c r="E8" s="50"/>
      <c r="F8" s="50"/>
      <c r="G8" s="50"/>
      <c r="I8" s="51"/>
    </row>
    <row customHeight="true" ht="18" r="9">
      <c r="B9" s="50"/>
      <c r="I9" s="51"/>
    </row>
    <row r="10">
      <c r="A10" s="57" t="s">
        <v>120</v>
      </c>
      <c r="B10" s="58" t="s">
        <v>121</v>
      </c>
      <c r="C10" s="58" t="s">
        <v>122</v>
      </c>
      <c r="D10" s="58" t="s">
        <v>123</v>
      </c>
      <c r="E10" s="59" t="s">
        <v>124</v>
      </c>
      <c r="F10" s="60" t="s">
        <v>125</v>
      </c>
      <c r="G10" s="58" t="s">
        <v>126</v>
      </c>
      <c r="H10" s="61" t="s">
        <v>127</v>
      </c>
      <c r="I10" s="61" t="s">
        <v>128</v>
      </c>
    </row>
    <row r="11">
      <c r="A11" s="62">
        <f t="shared" ref="A11:A75" si="0">IF(B11&lt;&gt;"", COUNTA($B$11:B11), "")</f>
      </c>
      <c r="B11" s="63" t="s">
        <v>129</v>
      </c>
      <c r="C11" s="63" t="s">
        <v>130</v>
      </c>
      <c r="D11" s="63" t="s">
        <v>131</v>
      </c>
      <c r="E11" s="63" t="s">
        <v>132</v>
      </c>
      <c r="F11" s="64">
        <v>-2</v>
      </c>
      <c r="G11" s="56">
        <f t="shared" ref="G11:G35" si="3">TEXT(H11, "[$-0421]dddd")</f>
      </c>
      <c r="H11" s="65">
        <f t="shared" ref="H11:H35" si="1">DATE(2026,8,6) + F11</f>
      </c>
      <c r="I11" s="66" t="s">
        <v>133</v>
      </c>
    </row>
    <row r="12">
      <c r="A12" s="62">
        <f t="shared" si="0"/>
      </c>
      <c r="B12" s="56" t="s">
        <v>134</v>
      </c>
      <c r="C12" s="56" t="s">
        <v>135</v>
      </c>
      <c r="D12" s="63" t="s">
        <v>136</v>
      </c>
      <c r="E12" s="63" t="s">
        <v>137</v>
      </c>
      <c r="F12" s="64">
        <v>-7</v>
      </c>
      <c r="G12" s="56">
        <f t="shared" si="3"/>
      </c>
      <c r="H12" s="65">
        <f t="shared" si="1"/>
      </c>
      <c r="I12" s="66" t="s">
        <v>138</v>
      </c>
    </row>
    <row r="13">
      <c r="A13" s="62">
        <f t="shared" si="0"/>
      </c>
      <c r="B13" s="56" t="s">
        <v>139</v>
      </c>
      <c r="C13" s="63" t="s">
        <v>140</v>
      </c>
      <c r="D13" s="63" t="s">
        <v>141</v>
      </c>
      <c r="E13" s="63" t="s">
        <v>142</v>
      </c>
      <c r="F13" s="64">
        <v>-5</v>
      </c>
      <c r="G13" s="56">
        <f t="shared" si="3"/>
      </c>
      <c r="H13" s="65">
        <f t="shared" si="1"/>
      </c>
      <c r="I13" s="66" t="s">
        <v>143</v>
      </c>
    </row>
    <row r="14">
      <c r="A14" s="62">
        <f t="shared" si="0"/>
      </c>
      <c r="B14" s="56" t="s">
        <v>144</v>
      </c>
      <c r="C14" s="67" t="s">
        <v>145</v>
      </c>
      <c r="D14" s="63" t="s">
        <v>146</v>
      </c>
      <c r="E14" s="63" t="s">
        <v>147</v>
      </c>
      <c r="F14" s="64">
        <v>-5</v>
      </c>
      <c r="G14" s="56">
        <f t="shared" si="3"/>
      </c>
      <c r="H14" s="65">
        <f t="shared" si="1"/>
      </c>
      <c r="I14" s="66" t="s">
        <v>133</v>
      </c>
    </row>
    <row r="15">
      <c r="A15" s="62">
        <f t="shared" si="0"/>
      </c>
      <c r="B15" s="56" t="s">
        <v>148</v>
      </c>
      <c r="C15" s="56" t="s">
        <v>149</v>
      </c>
      <c r="D15" s="63" t="s">
        <v>146</v>
      </c>
      <c r="E15" s="63" t="s">
        <v>150</v>
      </c>
      <c r="F15" s="64">
        <v>-1</v>
      </c>
      <c r="G15" s="56">
        <f t="shared" si="3"/>
      </c>
      <c r="H15" s="65">
        <f t="shared" si="1"/>
      </c>
      <c r="I15" s="66" t="s">
        <v>133</v>
      </c>
    </row>
    <row r="16">
      <c r="A16" s="62">
        <f t="shared" si="0"/>
      </c>
      <c r="B16" s="56" t="s">
        <v>151</v>
      </c>
      <c r="C16" s="56" t="s">
        <v>149</v>
      </c>
      <c r="D16" s="63" t="s">
        <v>146</v>
      </c>
      <c r="E16" s="63" t="s">
        <v>152</v>
      </c>
      <c r="F16" s="64">
        <v>-1</v>
      </c>
      <c r="G16" s="56">
        <f t="shared" si="3"/>
      </c>
      <c r="H16" s="65">
        <f t="shared" si="1"/>
      </c>
      <c r="I16" s="66" t="s">
        <v>133</v>
      </c>
    </row>
    <row r="17">
      <c r="A17" s="62">
        <f t="shared" si="0"/>
      </c>
      <c r="B17" s="56" t="s">
        <v>153</v>
      </c>
      <c r="C17" s="56" t="s">
        <v>149</v>
      </c>
      <c r="D17" s="63" t="s">
        <v>146</v>
      </c>
      <c r="E17" s="63" t="s">
        <v>154</v>
      </c>
      <c r="F17" s="64">
        <v>-1</v>
      </c>
      <c r="G17" s="56">
        <f t="shared" si="3"/>
      </c>
      <c r="H17" s="65">
        <f t="shared" si="1"/>
      </c>
      <c r="I17" s="66" t="s">
        <v>133</v>
      </c>
    </row>
    <row r="18">
      <c r="A18" s="62">
        <f t="shared" si="0"/>
      </c>
      <c r="B18" s="56" t="s">
        <v>155</v>
      </c>
      <c r="C18" s="56" t="s">
        <v>149</v>
      </c>
      <c r="D18" s="63" t="s">
        <v>146</v>
      </c>
      <c r="E18" s="63" t="s">
        <v>156</v>
      </c>
      <c r="F18" s="64">
        <v>-1</v>
      </c>
      <c r="G18" s="56">
        <f t="shared" si="3"/>
      </c>
      <c r="H18" s="65">
        <f t="shared" si="1"/>
      </c>
      <c r="I18" s="66" t="s">
        <v>133</v>
      </c>
    </row>
    <row r="19">
      <c r="A19" s="62">
        <f t="shared" si="0"/>
      </c>
      <c r="B19" s="56" t="s">
        <v>157</v>
      </c>
      <c r="C19" s="56" t="s">
        <v>149</v>
      </c>
      <c r="D19" s="63" t="s">
        <v>146</v>
      </c>
      <c r="E19" s="63" t="s">
        <v>158</v>
      </c>
      <c r="F19" s="64">
        <v>-1</v>
      </c>
      <c r="G19" s="56">
        <f t="shared" si="3"/>
      </c>
      <c r="H19" s="65">
        <f t="shared" si="1"/>
      </c>
      <c r="I19" s="66" t="s">
        <v>133</v>
      </c>
    </row>
    <row r="20">
      <c r="A20" s="62">
        <f t="shared" si="0"/>
      </c>
      <c r="B20" s="56" t="s">
        <v>159</v>
      </c>
      <c r="C20" s="56" t="s">
        <v>160</v>
      </c>
      <c r="D20" s="63" t="s">
        <v>146</v>
      </c>
      <c r="E20" s="63" t="s">
        <v>161</v>
      </c>
      <c r="F20" s="64">
        <v>-1</v>
      </c>
      <c r="G20" s="56">
        <f t="shared" si="3"/>
      </c>
      <c r="H20" s="65">
        <f t="shared" si="1"/>
      </c>
      <c r="I20" s="66" t="s">
        <v>133</v>
      </c>
    </row>
    <row r="21">
      <c r="A21" s="62">
        <f t="shared" si="0"/>
      </c>
      <c r="B21" s="56" t="s">
        <v>162</v>
      </c>
      <c r="C21" s="56" t="s">
        <v>160</v>
      </c>
      <c r="D21" s="63" t="s">
        <v>146</v>
      </c>
      <c r="E21" s="63" t="s">
        <v>163</v>
      </c>
      <c r="F21" s="64">
        <v>-1</v>
      </c>
      <c r="G21" s="56">
        <f t="shared" si="3"/>
      </c>
      <c r="H21" s="65">
        <f t="shared" si="1"/>
      </c>
      <c r="I21" s="66" t="s">
        <v>133</v>
      </c>
    </row>
    <row customHeight="true" ht="53" r="22">
      <c r="A22" s="62">
        <f t="shared" si="0"/>
      </c>
      <c r="B22" s="56" t="s">
        <v>164</v>
      </c>
      <c r="C22" s="56"/>
      <c r="D22" s="63" t="s">
        <v>165</v>
      </c>
      <c r="E22" s="63" t="s">
        <v>166</v>
      </c>
      <c r="F22" s="64">
        <v>-3</v>
      </c>
      <c r="G22" s="56">
        <f t="shared" si="3"/>
      </c>
      <c r="H22" s="65">
        <f t="shared" si="1"/>
      </c>
      <c r="I22" s="66" t="s">
        <v>133</v>
      </c>
    </row>
    <row r="23">
      <c r="A23" s="62">
        <f t="shared" si="0"/>
      </c>
      <c r="B23" s="56" t="s">
        <v>167</v>
      </c>
      <c r="C23" s="63">
        <v>0</v>
      </c>
      <c r="D23" s="63" t="s">
        <v>165</v>
      </c>
      <c r="E23" s="63" t="s">
        <v>168</v>
      </c>
      <c r="F23" s="64">
        <v>-1</v>
      </c>
      <c r="G23" s="56">
        <f t="shared" si="3"/>
      </c>
      <c r="H23" s="65">
        <f t="shared" si="1"/>
      </c>
      <c r="I23" s="66" t="s">
        <v>133</v>
      </c>
    </row>
    <row r="24">
      <c r="A24" s="62">
        <f t="shared" si="0"/>
      </c>
      <c r="B24" s="56" t="s">
        <v>169</v>
      </c>
      <c r="C24" s="56" t="s">
        <v>170</v>
      </c>
      <c r="D24" s="63" t="s">
        <v>171</v>
      </c>
      <c r="E24" s="63" t="s">
        <v>172</v>
      </c>
      <c r="F24" s="64">
        <v>-5</v>
      </c>
      <c r="G24" s="56">
        <f t="shared" si="3"/>
      </c>
      <c r="H24" s="65">
        <f t="shared" si="1"/>
      </c>
      <c r="I24" s="66" t="s">
        <v>133</v>
      </c>
    </row>
    <row r="25">
      <c r="A25" s="62">
        <f t="shared" si="0"/>
      </c>
      <c r="B25" s="56" t="s">
        <v>173</v>
      </c>
      <c r="C25" s="56" t="s">
        <v>174</v>
      </c>
      <c r="D25" s="63" t="s">
        <v>175</v>
      </c>
      <c r="E25" s="63" t="s">
        <v>176</v>
      </c>
      <c r="F25" s="64">
        <v>5</v>
      </c>
      <c r="G25" s="56">
        <f t="shared" si="3"/>
      </c>
      <c r="H25" s="65">
        <f t="shared" si="1"/>
      </c>
      <c r="I25" s="66" t="s">
        <v>133</v>
      </c>
    </row>
    <row r="26">
      <c r="A26" s="62">
        <f t="shared" si="0"/>
      </c>
      <c r="B26" s="68" t="s">
        <v>177</v>
      </c>
      <c r="C26" s="56" t="s">
        <v>178</v>
      </c>
      <c r="D26" s="63" t="s">
        <v>171</v>
      </c>
      <c r="E26" s="63" t="s">
        <v>179</v>
      </c>
      <c r="F26" s="64">
        <v>-3</v>
      </c>
      <c r="G26" s="56">
        <f t="shared" si="3"/>
      </c>
      <c r="H26" s="65">
        <f t="shared" si="1"/>
      </c>
      <c r="I26" s="66" t="s">
        <v>133</v>
      </c>
    </row>
    <row r="27">
      <c r="A27" s="62">
        <f t="shared" si="0"/>
      </c>
      <c r="B27" s="68" t="s">
        <v>180</v>
      </c>
      <c r="C27" s="56" t="s">
        <v>178</v>
      </c>
      <c r="D27" s="63" t="s">
        <v>171</v>
      </c>
      <c r="E27" s="63" t="s">
        <v>181</v>
      </c>
      <c r="F27" s="64">
        <v>-3</v>
      </c>
      <c r="G27" s="56">
        <f t="shared" si="3"/>
      </c>
      <c r="H27" s="65">
        <f t="shared" si="1"/>
      </c>
      <c r="I27" s="66" t="s">
        <v>133</v>
      </c>
    </row>
    <row r="28">
      <c r="A28" s="62">
        <f t="shared" si="0"/>
      </c>
      <c r="B28" s="68" t="s">
        <v>182</v>
      </c>
      <c r="C28" s="56" t="s">
        <v>178</v>
      </c>
      <c r="D28" s="63" t="s">
        <v>171</v>
      </c>
      <c r="E28" s="63" t="s">
        <v>183</v>
      </c>
      <c r="F28" s="64">
        <v>-3</v>
      </c>
      <c r="G28" s="56">
        <f t="shared" si="3"/>
      </c>
      <c r="H28" s="65">
        <f t="shared" si="1"/>
      </c>
      <c r="I28" s="66" t="s">
        <v>133</v>
      </c>
    </row>
    <row r="29">
      <c r="A29" s="62">
        <f t="shared" si="0"/>
      </c>
      <c r="B29" s="69" t="s">
        <v>184</v>
      </c>
      <c r="C29" s="56" t="s">
        <v>178</v>
      </c>
      <c r="D29" s="63" t="s">
        <v>171</v>
      </c>
      <c r="E29" s="63" t="s">
        <v>185</v>
      </c>
      <c r="F29" s="64">
        <v>-3</v>
      </c>
      <c r="G29" s="56">
        <f t="shared" si="3"/>
      </c>
      <c r="H29" s="65">
        <f t="shared" si="1"/>
      </c>
      <c r="I29" s="66" t="s">
        <v>133</v>
      </c>
    </row>
    <row r="30">
      <c r="A30" s="62">
        <f t="shared" si="0"/>
      </c>
      <c r="B30" s="69" t="s">
        <v>186</v>
      </c>
      <c r="C30" s="52"/>
      <c r="D30" s="63" t="s">
        <v>175</v>
      </c>
      <c r="E30" s="63" t="s">
        <v>187</v>
      </c>
      <c r="F30" s="64">
        <v>1</v>
      </c>
      <c r="G30" s="56">
        <f t="shared" si="3"/>
      </c>
      <c r="H30" s="65">
        <f t="shared" si="1"/>
      </c>
      <c r="I30" s="66" t="s">
        <v>133</v>
      </c>
    </row>
    <row r="31">
      <c r="A31" s="62">
        <f t="shared" si="0"/>
      </c>
      <c r="B31" s="69" t="s">
        <v>188</v>
      </c>
      <c r="C31" s="52"/>
      <c r="D31" s="63" t="s">
        <v>175</v>
      </c>
      <c r="E31" s="63" t="s">
        <v>189</v>
      </c>
      <c r="F31" s="64">
        <v>2</v>
      </c>
      <c r="G31" s="56">
        <f t="shared" si="3"/>
      </c>
      <c r="H31" s="65">
        <f t="shared" si="1"/>
      </c>
      <c r="I31" s="66" t="s">
        <v>133</v>
      </c>
    </row>
    <row r="32">
      <c r="A32" s="62">
        <f t="shared" si="0"/>
      </c>
      <c r="B32" s="69" t="s">
        <v>190</v>
      </c>
      <c r="C32" s="52"/>
      <c r="D32" s="63" t="s">
        <v>191</v>
      </c>
      <c r="E32" s="63" t="s">
        <v>192</v>
      </c>
      <c r="F32" s="64">
        <v>4</v>
      </c>
      <c r="G32" s="56">
        <f t="shared" si="3"/>
      </c>
      <c r="H32" s="65">
        <f t="shared" si="1"/>
      </c>
      <c r="I32" s="66" t="s">
        <v>133</v>
      </c>
    </row>
    <row r="33">
      <c r="A33" s="62">
        <f t="shared" si="0"/>
      </c>
      <c r="B33" s="69" t="s">
        <v>193</v>
      </c>
      <c r="C33" s="52"/>
      <c r="D33" s="63" t="s">
        <v>175</v>
      </c>
      <c r="E33" s="63" t="s">
        <v>194</v>
      </c>
      <c r="F33" s="64">
        <v>5</v>
      </c>
      <c r="G33" s="56">
        <f t="shared" si="3"/>
      </c>
      <c r="H33" s="65">
        <f t="shared" si="1"/>
      </c>
      <c r="I33" s="66" t="s">
        <v>133</v>
      </c>
    </row>
    <row r="34">
      <c r="A34" s="62">
        <f t="shared" si="0"/>
      </c>
      <c r="B34" s="69" t="s">
        <v>195</v>
      </c>
      <c r="C34" s="52"/>
      <c r="D34" s="63" t="s">
        <v>191</v>
      </c>
      <c r="E34" s="63" t="s">
        <v>196</v>
      </c>
      <c r="F34" s="64">
        <v>6</v>
      </c>
      <c r="G34" s="56">
        <f t="shared" si="3"/>
      </c>
      <c r="H34" s="65">
        <f t="shared" si="1"/>
      </c>
      <c r="I34" s="66" t="s">
        <v>133</v>
      </c>
    </row>
    <row r="35">
      <c r="A35" s="62">
        <f t="shared" si="0"/>
      </c>
      <c r="B35" s="69" t="s">
        <v>197</v>
      </c>
      <c r="C35" s="52"/>
      <c r="D35" s="63" t="s">
        <v>191</v>
      </c>
      <c r="E35" s="63" t="s">
        <v>198</v>
      </c>
      <c r="F35" s="64">
        <v>7</v>
      </c>
      <c r="G35" s="56">
        <f t="shared" si="3"/>
      </c>
      <c r="H35" s="65">
        <f t="shared" si="1"/>
      </c>
      <c r="I35" s="66" t="s">
        <v>133</v>
      </c>
    </row>
    <row r="36">
      <c r="A36" s="62">
        <f t="shared" si="0"/>
      </c>
      <c r="B36" s="68" t="s">
        <v>199</v>
      </c>
      <c r="C36" s="63" t="s">
        <v>200</v>
      </c>
      <c r="D36" s="63" t="s">
        <v>201</v>
      </c>
      <c r="E36" s="63" t="s">
        <v>202</v>
      </c>
      <c r="F36" s="64"/>
      <c r="G36" s="56"/>
      <c r="H36" s="65"/>
      <c r="I36" s="66" t="s">
        <v>133</v>
      </c>
    </row>
    <row customHeight="true" ht="71" r="37">
      <c r="A37" s="62">
        <f t="shared" si="0"/>
      </c>
      <c r="B37" s="68" t="s">
        <v>203</v>
      </c>
      <c r="C37" s="70" t="s">
        <v>204</v>
      </c>
      <c r="D37" s="63" t="s">
        <v>201</v>
      </c>
      <c r="E37" s="63" t="s">
        <v>205</v>
      </c>
      <c r="F37" s="64"/>
      <c r="G37" s="56"/>
      <c r="H37" s="65"/>
      <c r="I37" s="66" t="s">
        <v>133</v>
      </c>
    </row>
    <row r="38">
      <c r="A38" s="62">
        <f t="shared" si="0"/>
      </c>
      <c r="B38" s="69" t="s">
        <v>206</v>
      </c>
      <c r="C38" s="52"/>
      <c r="D38" s="63" t="s">
        <v>175</v>
      </c>
      <c r="E38" s="63" t="s">
        <v>207</v>
      </c>
      <c r="F38" s="64">
        <v>9</v>
      </c>
      <c r="G38" s="56">
        <f t="shared" ref="G38:G75" si="4">TEXT(H38, "[$-0421]dddd")</f>
      </c>
      <c r="H38" s="65">
        <f t="shared" ref="H38:H75" si="2">DATE(2026,8,6) + F38</f>
      </c>
      <c r="I38" s="66" t="s">
        <v>133</v>
      </c>
    </row>
    <row r="39">
      <c r="A39" s="62">
        <f t="shared" si="0"/>
      </c>
      <c r="B39" s="69" t="s">
        <v>208</v>
      </c>
      <c r="C39" s="52"/>
      <c r="D39" s="63" t="s">
        <v>175</v>
      </c>
      <c r="E39" s="63" t="s">
        <v>209</v>
      </c>
      <c r="F39" s="64">
        <v>9</v>
      </c>
      <c r="G39" s="56">
        <f t="shared" si="4"/>
      </c>
      <c r="H39" s="65">
        <f t="shared" si="2"/>
      </c>
      <c r="I39" s="66" t="s">
        <v>133</v>
      </c>
    </row>
    <row r="40">
      <c r="A40" s="62">
        <f t="shared" si="0"/>
      </c>
      <c r="B40" s="69" t="s">
        <v>210</v>
      </c>
      <c r="C40" s="52"/>
      <c r="D40" s="63" t="s">
        <v>175</v>
      </c>
      <c r="E40" s="63" t="s">
        <v>211</v>
      </c>
      <c r="F40" s="64">
        <v>9</v>
      </c>
      <c r="G40" s="56">
        <f t="shared" si="4"/>
      </c>
      <c r="H40" s="65">
        <f t="shared" si="2"/>
      </c>
      <c r="I40" s="66" t="s">
        <v>133</v>
      </c>
    </row>
    <row r="41">
      <c r="A41" s="62">
        <f t="shared" si="0"/>
      </c>
      <c r="B41" s="69" t="s">
        <v>212</v>
      </c>
      <c r="C41" s="52"/>
      <c r="D41" s="63" t="s">
        <v>175</v>
      </c>
      <c r="E41" s="63" t="s">
        <v>213</v>
      </c>
      <c r="F41" s="64">
        <v>11</v>
      </c>
      <c r="G41" s="56">
        <f t="shared" si="4"/>
      </c>
      <c r="H41" s="65">
        <f t="shared" si="2"/>
      </c>
      <c r="I41" s="66" t="s">
        <v>133</v>
      </c>
    </row>
    <row r="42">
      <c r="A42" s="62">
        <f t="shared" si="0"/>
      </c>
      <c r="B42" s="68" t="s">
        <v>214</v>
      </c>
      <c r="C42" s="52"/>
      <c r="D42" s="63" t="s">
        <v>191</v>
      </c>
      <c r="E42" s="63" t="s">
        <v>215</v>
      </c>
      <c r="F42" s="64">
        <v>11</v>
      </c>
      <c r="G42" s="56">
        <f t="shared" si="4"/>
      </c>
      <c r="H42" s="65">
        <f t="shared" si="2"/>
      </c>
      <c r="I42" s="66" t="s">
        <v>133</v>
      </c>
    </row>
    <row r="43">
      <c r="A43" s="62">
        <f t="shared" si="0"/>
      </c>
      <c r="B43" s="69" t="s">
        <v>216</v>
      </c>
      <c r="C43" s="52"/>
      <c r="D43" s="63" t="s">
        <v>175</v>
      </c>
      <c r="E43" s="63" t="s">
        <v>217</v>
      </c>
      <c r="F43" s="64">
        <v>9</v>
      </c>
      <c r="G43" s="56">
        <f t="shared" si="4"/>
      </c>
      <c r="H43" s="65">
        <f t="shared" si="2"/>
      </c>
      <c r="I43" s="66" t="s">
        <v>133</v>
      </c>
    </row>
    <row r="44">
      <c r="A44" s="62">
        <f t="shared" si="0"/>
      </c>
      <c r="B44" s="69" t="s">
        <v>218</v>
      </c>
      <c r="C44" s="52"/>
      <c r="D44" s="63" t="s">
        <v>191</v>
      </c>
      <c r="E44" s="63" t="s">
        <v>219</v>
      </c>
      <c r="F44" s="64">
        <v>12</v>
      </c>
      <c r="G44" s="56">
        <f t="shared" si="4"/>
      </c>
      <c r="H44" s="65">
        <f t="shared" si="2"/>
      </c>
      <c r="I44" s="66" t="s">
        <v>133</v>
      </c>
    </row>
    <row r="45">
      <c r="A45" s="62">
        <f t="shared" si="0"/>
      </c>
      <c r="B45" s="69" t="s">
        <v>220</v>
      </c>
      <c r="C45" s="52"/>
      <c r="D45" s="63" t="s">
        <v>191</v>
      </c>
      <c r="E45" s="63" t="s">
        <v>221</v>
      </c>
      <c r="F45" s="64">
        <v>13</v>
      </c>
      <c r="G45" s="56">
        <f t="shared" si="4"/>
      </c>
      <c r="H45" s="65">
        <f t="shared" si="2"/>
      </c>
      <c r="I45" s="66" t="s">
        <v>133</v>
      </c>
    </row>
    <row r="46">
      <c r="A46" s="62">
        <f t="shared" si="0"/>
      </c>
      <c r="B46" s="69" t="s">
        <v>222</v>
      </c>
      <c r="C46" s="56" t="s">
        <v>223</v>
      </c>
      <c r="D46" s="63" t="s">
        <v>191</v>
      </c>
      <c r="E46" s="63" t="s">
        <v>224</v>
      </c>
      <c r="F46" s="64">
        <v>14</v>
      </c>
      <c r="G46" s="56">
        <f t="shared" si="4"/>
      </c>
      <c r="H46" s="65">
        <f t="shared" si="2"/>
      </c>
      <c r="I46" s="66" t="s">
        <v>133</v>
      </c>
    </row>
    <row r="47">
      <c r="A47" s="62">
        <f t="shared" si="0"/>
      </c>
      <c r="B47" s="69" t="s">
        <v>225</v>
      </c>
      <c r="C47" s="56" t="s">
        <v>226</v>
      </c>
      <c r="D47" s="63" t="s">
        <v>191</v>
      </c>
      <c r="E47" s="63" t="s">
        <v>227</v>
      </c>
      <c r="F47" s="64">
        <v>14</v>
      </c>
      <c r="G47" s="56">
        <f t="shared" si="4"/>
      </c>
      <c r="H47" s="65">
        <f t="shared" si="2"/>
      </c>
      <c r="I47" s="66" t="s">
        <v>133</v>
      </c>
    </row>
    <row customHeight="true" ht="32" r="48">
      <c r="A48" s="62">
        <f t="shared" si="0"/>
      </c>
      <c r="B48" s="68" t="s">
        <v>228</v>
      </c>
      <c r="C48" s="63" t="s">
        <v>229</v>
      </c>
      <c r="D48" s="63" t="s">
        <v>191</v>
      </c>
      <c r="E48" s="63" t="s">
        <v>230</v>
      </c>
      <c r="F48" s="64">
        <v>15</v>
      </c>
      <c r="G48" s="56">
        <f t="shared" si="4"/>
      </c>
      <c r="H48" s="65">
        <f t="shared" si="2"/>
      </c>
      <c r="I48" s="66" t="s">
        <v>133</v>
      </c>
    </row>
    <row customHeight="true" ht="18" r="49">
      <c r="A49" s="62">
        <f t="shared" si="0"/>
      </c>
      <c r="B49" s="68" t="s">
        <v>231</v>
      </c>
      <c r="C49" s="56" t="s">
        <v>232</v>
      </c>
      <c r="D49" s="63" t="s">
        <v>191</v>
      </c>
      <c r="E49" s="63" t="s">
        <v>233</v>
      </c>
      <c r="F49" s="64">
        <v>15</v>
      </c>
      <c r="G49" s="56">
        <f t="shared" si="4"/>
      </c>
      <c r="H49" s="65">
        <f t="shared" si="2"/>
      </c>
      <c r="I49" s="66" t="s">
        <v>133</v>
      </c>
    </row>
    <row r="50">
      <c r="A50" s="62">
        <f t="shared" si="0"/>
      </c>
      <c r="B50" s="69" t="s">
        <v>234</v>
      </c>
      <c r="C50" s="56" t="s">
        <v>235</v>
      </c>
      <c r="D50" s="63" t="s">
        <v>191</v>
      </c>
      <c r="E50" s="63" t="s">
        <v>236</v>
      </c>
      <c r="F50" s="64">
        <v>18</v>
      </c>
      <c r="G50" s="56">
        <f t="shared" si="4"/>
      </c>
      <c r="H50" s="65">
        <f t="shared" si="2"/>
      </c>
      <c r="I50" s="66" t="s">
        <v>133</v>
      </c>
    </row>
    <row r="51">
      <c r="A51" s="62">
        <f t="shared" si="0"/>
      </c>
      <c r="B51" s="69" t="s">
        <v>237</v>
      </c>
      <c r="C51" s="56" t="s">
        <v>235</v>
      </c>
      <c r="D51" s="63" t="s">
        <v>175</v>
      </c>
      <c r="E51" s="63" t="s">
        <v>238</v>
      </c>
      <c r="F51" s="64">
        <v>17</v>
      </c>
      <c r="G51" s="56">
        <f t="shared" si="4"/>
      </c>
      <c r="H51" s="65">
        <f t="shared" si="2"/>
      </c>
      <c r="I51" s="66" t="s">
        <v>133</v>
      </c>
    </row>
    <row r="52">
      <c r="A52" s="62">
        <f t="shared" si="0"/>
      </c>
      <c r="B52" s="69" t="s">
        <v>239</v>
      </c>
      <c r="C52" s="56" t="s">
        <v>240</v>
      </c>
      <c r="D52" s="63" t="s">
        <v>191</v>
      </c>
      <c r="E52" s="63" t="s">
        <v>241</v>
      </c>
      <c r="F52" s="64">
        <v>19</v>
      </c>
      <c r="G52" s="56">
        <f t="shared" si="4"/>
      </c>
      <c r="H52" s="65">
        <f t="shared" si="2"/>
      </c>
      <c r="I52" s="66" t="s">
        <v>133</v>
      </c>
    </row>
    <row r="53">
      <c r="A53" s="62">
        <f t="shared" si="0"/>
      </c>
      <c r="B53" s="68" t="s">
        <v>242</v>
      </c>
      <c r="C53" s="52"/>
      <c r="D53" s="63" t="s">
        <v>191</v>
      </c>
      <c r="E53" s="63" t="s">
        <v>243</v>
      </c>
      <c r="F53" s="64">
        <v>17</v>
      </c>
      <c r="G53" s="56">
        <f t="shared" si="4"/>
      </c>
      <c r="H53" s="65">
        <f t="shared" si="2"/>
      </c>
      <c r="I53" s="66" t="s">
        <v>133</v>
      </c>
    </row>
    <row r="54">
      <c r="A54" s="62">
        <f t="shared" si="0"/>
      </c>
      <c r="B54" s="63" t="s">
        <v>244</v>
      </c>
      <c r="C54" s="63" t="s">
        <v>245</v>
      </c>
      <c r="D54" s="63" t="s">
        <v>136</v>
      </c>
      <c r="E54" s="71" t="s">
        <v>246</v>
      </c>
      <c r="F54" s="64">
        <v>7</v>
      </c>
      <c r="G54" s="56">
        <f t="shared" si="4"/>
      </c>
      <c r="H54" s="65">
        <f t="shared" si="2"/>
      </c>
      <c r="I54" s="66" t="s">
        <v>133</v>
      </c>
    </row>
    <row r="55">
      <c r="A55" s="62">
        <f t="shared" si="0"/>
      </c>
      <c r="B55" s="63" t="s">
        <v>247</v>
      </c>
      <c r="C55" s="63" t="s">
        <v>248</v>
      </c>
      <c r="D55" s="63" t="s">
        <v>136</v>
      </c>
      <c r="E55" s="71" t="s">
        <v>249</v>
      </c>
      <c r="F55" s="64">
        <v>7</v>
      </c>
      <c r="G55" s="56">
        <f t="shared" si="4"/>
      </c>
      <c r="H55" s="65">
        <f t="shared" si="2"/>
      </c>
      <c r="I55" s="66" t="s">
        <v>133</v>
      </c>
    </row>
    <row r="56">
      <c r="A56" s="62">
        <f t="shared" si="0"/>
      </c>
      <c r="B56" s="63" t="s">
        <v>250</v>
      </c>
      <c r="C56" s="63" t="s">
        <v>251</v>
      </c>
      <c r="D56" s="63" t="s">
        <v>136</v>
      </c>
      <c r="E56" s="71" t="s">
        <v>252</v>
      </c>
      <c r="F56" s="64">
        <v>7</v>
      </c>
      <c r="G56" s="56">
        <f t="shared" si="4"/>
      </c>
      <c r="H56" s="65">
        <f t="shared" si="2"/>
      </c>
      <c r="I56" s="66" t="s">
        <v>133</v>
      </c>
    </row>
    <row r="57">
      <c r="A57" s="62">
        <f t="shared" si="0"/>
      </c>
      <c r="B57" s="56" t="s">
        <v>253</v>
      </c>
      <c r="C57" s="52"/>
      <c r="D57" s="52" t="s">
        <v>201</v>
      </c>
      <c r="E57" s="63" t="s">
        <v>254</v>
      </c>
      <c r="F57" s="64">
        <v>7</v>
      </c>
      <c r="G57" s="56">
        <f t="shared" si="4"/>
      </c>
      <c r="H57" s="65">
        <f t="shared" si="2"/>
      </c>
      <c r="I57" s="66" t="s">
        <v>133</v>
      </c>
    </row>
    <row r="58">
      <c r="A58" s="62">
        <f t="shared" si="0"/>
      </c>
      <c r="B58" s="56" t="s">
        <v>255</v>
      </c>
      <c r="C58" s="52"/>
      <c r="D58" s="52" t="s">
        <v>201</v>
      </c>
      <c r="E58" s="63" t="s">
        <v>256</v>
      </c>
      <c r="F58" s="64">
        <v>0</v>
      </c>
      <c r="G58" s="56">
        <f t="shared" si="4"/>
      </c>
      <c r="H58" s="65">
        <f t="shared" si="2"/>
      </c>
      <c r="I58" s="66" t="s">
        <v>133</v>
      </c>
    </row>
    <row r="59">
      <c r="A59" s="62">
        <f t="shared" si="0"/>
      </c>
      <c r="B59" s="56" t="s">
        <v>257</v>
      </c>
      <c r="C59" s="52"/>
      <c r="D59" s="52" t="s">
        <v>201</v>
      </c>
      <c r="E59" s="63" t="s">
        <v>258</v>
      </c>
      <c r="F59" s="64">
        <v>0</v>
      </c>
      <c r="G59" s="56">
        <f t="shared" si="4"/>
      </c>
      <c r="H59" s="65">
        <f t="shared" si="2"/>
      </c>
      <c r="I59" s="66" t="s">
        <v>133</v>
      </c>
    </row>
    <row r="60">
      <c r="A60" s="62">
        <f t="shared" si="0"/>
      </c>
      <c r="B60" s="72" t="s">
        <v>259</v>
      </c>
      <c r="C60" s="52"/>
      <c r="D60" s="52" t="s">
        <v>201</v>
      </c>
      <c r="E60" s="63" t="s">
        <v>260</v>
      </c>
      <c r="F60" s="64">
        <v>0</v>
      </c>
      <c r="G60" s="56">
        <f t="shared" si="4"/>
      </c>
      <c r="H60" s="65">
        <f t="shared" si="2"/>
      </c>
      <c r="I60" s="66" t="s">
        <v>133</v>
      </c>
    </row>
    <row r="61">
      <c r="A61" s="62">
        <f t="shared" si="0"/>
      </c>
      <c r="B61" s="56" t="s">
        <v>261</v>
      </c>
      <c r="C61" s="52"/>
      <c r="D61" s="52" t="s">
        <v>262</v>
      </c>
      <c r="E61" s="63" t="s">
        <v>263</v>
      </c>
      <c r="F61" s="64">
        <v>0</v>
      </c>
      <c r="G61" s="56">
        <f t="shared" si="4"/>
      </c>
      <c r="H61" s="65">
        <f t="shared" si="2"/>
      </c>
      <c r="I61" s="66" t="s">
        <v>133</v>
      </c>
    </row>
    <row r="62">
      <c r="A62" s="62">
        <f t="shared" si="0"/>
      </c>
      <c r="B62" s="68" t="s">
        <v>264</v>
      </c>
      <c r="C62" s="52"/>
      <c r="D62" s="52" t="s">
        <v>265</v>
      </c>
      <c r="E62" s="63" t="s">
        <v>266</v>
      </c>
      <c r="F62" s="64">
        <v>0</v>
      </c>
      <c r="G62" s="56">
        <f t="shared" si="4"/>
      </c>
      <c r="H62" s="65">
        <f t="shared" si="2"/>
      </c>
      <c r="I62" s="66" t="s">
        <v>133</v>
      </c>
    </row>
    <row r="63">
      <c r="A63" s="62">
        <f t="shared" si="0"/>
      </c>
      <c r="B63" s="68" t="s">
        <v>267</v>
      </c>
      <c r="C63" s="52"/>
      <c r="D63" s="52" t="s">
        <v>265</v>
      </c>
      <c r="E63" s="63" t="s">
        <v>268</v>
      </c>
      <c r="F63" s="64">
        <v>0</v>
      </c>
      <c r="G63" s="56">
        <f t="shared" si="4"/>
      </c>
      <c r="H63" s="65">
        <f t="shared" si="2"/>
      </c>
      <c r="I63" s="66" t="s">
        <v>133</v>
      </c>
    </row>
    <row r="64">
      <c r="A64" s="62">
        <f t="shared" si="0"/>
      </c>
      <c r="B64" s="69" t="s">
        <v>210</v>
      </c>
      <c r="C64" s="52"/>
      <c r="D64" s="52" t="s">
        <v>265</v>
      </c>
      <c r="E64" s="63" t="s">
        <v>269</v>
      </c>
      <c r="F64" s="64">
        <v>0</v>
      </c>
      <c r="G64" s="56">
        <f t="shared" si="4"/>
      </c>
      <c r="H64" s="65">
        <f t="shared" si="2"/>
      </c>
      <c r="I64" s="66" t="s">
        <v>133</v>
      </c>
    </row>
    <row r="65">
      <c r="A65" s="62">
        <f t="shared" si="0"/>
      </c>
      <c r="B65" s="56" t="s">
        <v>270</v>
      </c>
      <c r="C65" s="52"/>
      <c r="D65" s="52" t="s">
        <v>271</v>
      </c>
      <c r="E65" s="63" t="s">
        <v>272</v>
      </c>
      <c r="F65" s="64">
        <v>0</v>
      </c>
      <c r="G65" s="56">
        <f t="shared" si="4"/>
      </c>
      <c r="H65" s="65">
        <f t="shared" si="2"/>
      </c>
      <c r="I65" s="66" t="s">
        <v>133</v>
      </c>
    </row>
    <row r="66">
      <c r="A66" s="62">
        <f t="shared" si="0"/>
      </c>
      <c r="B66" s="72" t="s">
        <v>273</v>
      </c>
      <c r="C66" s="63" t="s">
        <v>274</v>
      </c>
      <c r="D66" s="52" t="s">
        <v>275</v>
      </c>
      <c r="E66" s="63" t="s">
        <v>276</v>
      </c>
      <c r="F66" s="64">
        <v>7</v>
      </c>
      <c r="G66" s="56">
        <f t="shared" si="4"/>
      </c>
      <c r="H66" s="65">
        <f t="shared" si="2"/>
      </c>
      <c r="I66" s="66" t="s">
        <v>133</v>
      </c>
    </row>
    <row r="67">
      <c r="A67" s="62">
        <f t="shared" si="0"/>
      </c>
      <c r="B67" s="72" t="s">
        <v>277</v>
      </c>
      <c r="C67" s="52"/>
      <c r="D67" s="52" t="s">
        <v>278</v>
      </c>
      <c r="E67" s="63" t="s">
        <v>279</v>
      </c>
      <c r="F67" s="64">
        <v>8</v>
      </c>
      <c r="G67" s="56">
        <f t="shared" si="4"/>
      </c>
      <c r="H67" s="65">
        <f t="shared" si="2"/>
      </c>
      <c r="I67" s="66" t="s">
        <v>133</v>
      </c>
    </row>
    <row customHeight="true" ht="30" r="68">
      <c r="A68" s="62">
        <f t="shared" si="0"/>
      </c>
      <c r="B68" s="73" t="s">
        <v>280</v>
      </c>
      <c r="C68" s="52"/>
      <c r="D68" s="52" t="s">
        <v>281</v>
      </c>
      <c r="E68" s="63" t="s">
        <v>282</v>
      </c>
      <c r="F68" s="64">
        <v>11</v>
      </c>
      <c r="G68" s="56">
        <f t="shared" si="4"/>
      </c>
      <c r="H68" s="65">
        <f t="shared" si="2"/>
      </c>
      <c r="I68" s="66" t="s">
        <v>133</v>
      </c>
    </row>
    <row r="69">
      <c r="A69" s="62">
        <f t="shared" si="0"/>
      </c>
      <c r="B69" s="72" t="s">
        <v>283</v>
      </c>
      <c r="C69" s="52"/>
      <c r="D69" s="52" t="s">
        <v>275</v>
      </c>
      <c r="E69" s="63" t="s">
        <v>276</v>
      </c>
      <c r="F69" s="64">
        <v>16</v>
      </c>
      <c r="G69" s="56">
        <f t="shared" si="4"/>
      </c>
      <c r="H69" s="65">
        <f t="shared" si="2"/>
      </c>
      <c r="I69" s="66" t="s">
        <v>133</v>
      </c>
    </row>
    <row r="70">
      <c r="A70" s="62">
        <f t="shared" si="0"/>
      </c>
      <c r="B70" s="72" t="s">
        <v>284</v>
      </c>
      <c r="C70" s="63" t="s">
        <v>285</v>
      </c>
      <c r="D70" s="52" t="s">
        <v>286</v>
      </c>
      <c r="E70" s="63" t="s">
        <v>287</v>
      </c>
      <c r="F70" s="64">
        <v>7</v>
      </c>
      <c r="G70" s="56">
        <f t="shared" si="4"/>
      </c>
      <c r="H70" s="65">
        <f t="shared" si="2"/>
      </c>
      <c r="I70" s="66" t="s">
        <v>133</v>
      </c>
    </row>
    <row r="71">
      <c r="A71" s="62">
        <f t="shared" si="0"/>
      </c>
      <c r="B71" s="56" t="s">
        <v>288</v>
      </c>
      <c r="C71" s="52"/>
      <c r="D71" s="52" t="s">
        <v>265</v>
      </c>
      <c r="E71" s="63" t="s">
        <v>289</v>
      </c>
      <c r="F71" s="64">
        <v>7</v>
      </c>
      <c r="G71" s="56">
        <f t="shared" si="4"/>
      </c>
      <c r="H71" s="65">
        <f t="shared" si="2"/>
      </c>
      <c r="I71" s="66" t="s">
        <v>133</v>
      </c>
    </row>
    <row r="72">
      <c r="A72" s="62">
        <f t="shared" si="0"/>
      </c>
      <c r="B72" s="56" t="s">
        <v>290</v>
      </c>
      <c r="C72" s="52"/>
      <c r="D72" s="52" t="s">
        <v>265</v>
      </c>
      <c r="E72" s="63" t="s">
        <v>291</v>
      </c>
      <c r="F72" s="64">
        <v>14</v>
      </c>
      <c r="G72" s="56">
        <f t="shared" si="4"/>
      </c>
      <c r="H72" s="65">
        <f t="shared" si="2"/>
      </c>
      <c r="I72" s="66" t="s">
        <v>133</v>
      </c>
    </row>
    <row r="73">
      <c r="A73" s="62">
        <f t="shared" si="0"/>
      </c>
      <c r="B73" s="56" t="s">
        <v>292</v>
      </c>
      <c r="C73" s="52"/>
      <c r="D73" s="52" t="s">
        <v>265</v>
      </c>
      <c r="E73" s="63" t="s">
        <v>293</v>
      </c>
      <c r="F73" s="64">
        <v>21</v>
      </c>
      <c r="G73" s="56">
        <f t="shared" si="4"/>
      </c>
      <c r="H73" s="65">
        <f t="shared" si="2"/>
      </c>
      <c r="I73" s="66" t="s">
        <v>133</v>
      </c>
    </row>
    <row r="74">
      <c r="A74" s="62">
        <f t="shared" si="0"/>
      </c>
      <c r="B74" s="56" t="s">
        <v>294</v>
      </c>
      <c r="C74" s="52"/>
      <c r="D74" s="52" t="s">
        <v>265</v>
      </c>
      <c r="E74" s="63" t="s">
        <v>295</v>
      </c>
      <c r="F74" s="64">
        <v>30</v>
      </c>
      <c r="G74" s="56">
        <f t="shared" si="4"/>
      </c>
      <c r="H74" s="65">
        <f t="shared" si="2"/>
      </c>
      <c r="I74" s="66" t="s">
        <v>133</v>
      </c>
    </row>
    <row r="75">
      <c r="A75" s="62">
        <f t="shared" si="0"/>
      </c>
      <c r="B75" s="56" t="s">
        <v>296</v>
      </c>
      <c r="C75" s="52"/>
      <c r="D75" s="52" t="s">
        <v>265</v>
      </c>
      <c r="E75" s="63" t="s">
        <v>297</v>
      </c>
      <c r="F75" s="64">
        <v>36</v>
      </c>
      <c r="G75" s="56">
        <f t="shared" si="4"/>
      </c>
      <c r="H75" s="65">
        <f t="shared" si="2"/>
      </c>
      <c r="I75" s="66" t="s">
        <v>133</v>
      </c>
    </row>
  </sheetData>
  <dataValidations count="2">
    <dataValidation allowBlank="true" errorStyle="stop" showErrorMessage="true" sqref="D11:D75" type="list">
      <formula1>"Infomation,Shooting,Content,Design,Short Videos,Retouch,Ads,KOL,Website,Nội bộ,Posm,Seeding,Vận Hành"</formula1>
    </dataValidation>
    <dataValidation allowBlank="true" errorStyle="stop" showErrorMessage="true" sqref="I11:I75" type="list">
      <formula1>"Hoàn thành ,Kế hoạch,Đợi duyệt,Đang Làm"</formula1>
    </dataValidation>
  </dataValidations>
  <hyperlinks>
    <hyperlink ref="C13" location="'Danh Photoshoot sách quà tặng'!A1" display="Danh Photoshoot sách quà tặng"/>
    <hyperlink ref="C12" display="BRIEF MEDIA SHOOTING QUÀ TẶNG" r:id="rId1"/>
  </hyperlink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30"/>
    <col collapsed="false" customWidth="true" hidden="false" max="4" min="4" style="0" width="37"/>
    <col collapsed="false" customWidth="true" hidden="false" max="5" min="5" style="0" width="43"/>
    <col collapsed="false" customWidth="true" hidden="false" max="6" min="6" style="0" width="12"/>
    <col collapsed="false" customWidth="true" hidden="false" max="1" min="1" style="0" width="18"/>
    <col collapsed="false" customWidth="true" hidden="false" max="2" min="2" style="0" width="28"/>
  </cols>
  <sheetData>
    <row r="1">
      <c r="A1" s="74" t="s">
        <v>298</v>
      </c>
      <c r="B1" s="74" t="s">
        <v>299</v>
      </c>
      <c r="C1" s="74" t="s">
        <v>300</v>
      </c>
      <c r="D1" s="74" t="s">
        <v>301</v>
      </c>
      <c r="E1" s="74" t="s">
        <v>302</v>
      </c>
      <c r="F1" s="75"/>
    </row>
    <row r="2">
      <c r="A2" s="76" t="s">
        <v>303</v>
      </c>
      <c r="B2" s="76" t="s">
        <v>304</v>
      </c>
      <c r="C2" s="76" t="s">
        <v>305</v>
      </c>
      <c r="D2" s="76" t="s">
        <v>306</v>
      </c>
      <c r="E2" s="77" t="s">
        <v>307</v>
      </c>
      <c r="F2" s="75"/>
    </row>
    <row r="3">
      <c r="A3" s="76" t="s">
        <v>308</v>
      </c>
      <c r="B3" s="76" t="s">
        <v>309</v>
      </c>
      <c r="C3" s="76" t="s">
        <v>310</v>
      </c>
      <c r="D3" s="76" t="s">
        <v>311</v>
      </c>
      <c r="E3" s="76"/>
      <c r="F3" s="75"/>
    </row>
    <row r="4">
      <c r="A4" s="76" t="s">
        <v>312</v>
      </c>
      <c r="B4" s="76" t="s">
        <v>313</v>
      </c>
      <c r="C4" s="76" t="s">
        <v>314</v>
      </c>
      <c r="D4" s="77" t="s">
        <v>315</v>
      </c>
      <c r="E4" s="76"/>
      <c r="F4" s="75"/>
    </row>
    <row r="5">
      <c r="A5" s="78" t="s">
        <v>316</v>
      </c>
      <c r="B5" s="79"/>
      <c r="C5" s="80" t="s">
        <v>317</v>
      </c>
      <c r="D5" s="79"/>
      <c r="E5" s="79"/>
      <c r="F5" s="75"/>
    </row>
    <row r="6">
      <c r="A6" s="81"/>
      <c r="B6" s="82"/>
      <c r="C6" s="82"/>
      <c r="D6" s="82"/>
      <c r="E6" s="82"/>
    </row>
    <row outlineLevel="1" r="7">
      <c r="A7" s="83" t="s">
        <v>318</v>
      </c>
      <c r="B7" s="83"/>
      <c r="C7" s="83"/>
      <c r="D7" s="83"/>
      <c r="E7" s="83"/>
    </row>
    <row customHeight="true" ht="30" outlineLevel="1" r="8">
      <c r="A8" s="84" t="s">
        <v>319</v>
      </c>
      <c r="B8" s="84"/>
      <c r="C8" s="84"/>
      <c r="D8" s="84"/>
      <c r="E8" s="84"/>
      <c r="F8" s="84"/>
      <c r="G8" s="82"/>
    </row>
    <row outlineLevel="1" r="9">
      <c r="A9" s="84" t="s">
        <v>320</v>
      </c>
      <c r="B9" s="85" t="s">
        <v>321</v>
      </c>
      <c r="C9" s="84" t="s">
        <v>322</v>
      </c>
      <c r="D9" s="86"/>
      <c r="E9" s="86"/>
      <c r="F9" s="86"/>
      <c r="G9" s="82"/>
    </row>
    <row outlineLevel="1" r="10">
      <c r="A10" s="86" t="s">
        <v>323</v>
      </c>
      <c r="B10" s="87" t="s">
        <v>324</v>
      </c>
      <c r="C10" s="86" t="s">
        <v>325</v>
      </c>
      <c r="D10" s="86" t="s">
        <v>326</v>
      </c>
      <c r="E10" s="86" t="s">
        <v>327</v>
      </c>
      <c r="F10" s="86" t="s">
        <v>328</v>
      </c>
      <c r="G10" s="82"/>
    </row>
    <row outlineLevel="1" r="11">
      <c r="A11" s="88" t="s">
        <v>329</v>
      </c>
      <c r="B11" s="88" t="s">
        <v>330</v>
      </c>
      <c r="C11" s="88" t="s">
        <v>331</v>
      </c>
      <c r="D11" s="88" t="s">
        <v>332</v>
      </c>
      <c r="E11" s="88" t="s">
        <v>333</v>
      </c>
      <c r="F11" s="88" t="s">
        <v>334</v>
      </c>
      <c r="G11" s="82"/>
    </row>
    <row outlineLevel="1" r="12">
      <c r="A12" s="82"/>
      <c r="B12" s="82"/>
      <c r="C12" s="82"/>
      <c r="D12" s="82"/>
      <c r="E12" s="82"/>
      <c r="F12" s="82"/>
    </row>
    <row outlineLevel="1" r="13">
      <c r="A13" s="89" t="s">
        <v>335</v>
      </c>
      <c r="B13" s="89"/>
      <c r="C13" s="89"/>
      <c r="D13" s="82"/>
    </row>
    <row outlineLevel="1" r="14">
      <c r="A14" s="90" t="s">
        <v>336</v>
      </c>
      <c r="B14" s="90" t="s">
        <v>337</v>
      </c>
      <c r="C14" s="90" t="s">
        <v>338</v>
      </c>
      <c r="D14" s="82"/>
    </row>
    <row outlineLevel="1" r="15">
      <c r="A15" s="91" t="s">
        <v>339</v>
      </c>
      <c r="B15" s="91" t="s">
        <v>340</v>
      </c>
      <c r="C15" s="91" t="s">
        <v>341</v>
      </c>
      <c r="D15" s="82"/>
    </row>
    <row outlineLevel="1" r="16">
      <c r="A16" s="91" t="s">
        <v>342</v>
      </c>
      <c r="B16" s="91" t="s">
        <v>343</v>
      </c>
      <c r="C16" s="91" t="s">
        <v>341</v>
      </c>
      <c r="D16" s="82"/>
    </row>
    <row outlineLevel="1" r="17">
      <c r="A17" s="91" t="s">
        <v>344</v>
      </c>
      <c r="B17" s="91" t="s">
        <v>345</v>
      </c>
      <c r="C17" s="91" t="s">
        <v>346</v>
      </c>
      <c r="D17" s="82"/>
    </row>
    <row outlineLevel="1" r="18">
      <c r="A18" s="91" t="s">
        <v>347</v>
      </c>
      <c r="B18" s="91" t="s">
        <v>348</v>
      </c>
      <c r="C18" s="91" t="s">
        <v>349</v>
      </c>
      <c r="D18" s="82"/>
    </row>
    <row outlineLevel="1" r="19">
      <c r="A19" s="91" t="s">
        <v>350</v>
      </c>
      <c r="B19" s="91" t="s">
        <v>351</v>
      </c>
      <c r="C19" s="91" t="s">
        <v>352</v>
      </c>
      <c r="D19" s="82"/>
    </row>
    <row outlineLevel="1" r="20">
      <c r="A20" s="82"/>
      <c r="B20" s="82"/>
      <c r="C20" s="82"/>
      <c r="D20" s="82"/>
      <c r="E20" s="82"/>
    </row>
    <row customHeight="true" ht="18" outlineLevel="1" r="21">
      <c r="A21" s="92" t="s">
        <v>353</v>
      </c>
      <c r="B21" s="92"/>
      <c r="C21" s="92"/>
      <c r="D21" s="92"/>
      <c r="E21" s="92"/>
      <c r="F21" s="82"/>
    </row>
    <row customHeight="true" ht="18" outlineLevel="1" r="22">
      <c r="A22" s="86" t="s">
        <v>354</v>
      </c>
      <c r="B22" s="86" t="s">
        <v>355</v>
      </c>
      <c r="C22" s="86" t="s">
        <v>356</v>
      </c>
      <c r="D22" s="86" t="s">
        <v>357</v>
      </c>
      <c r="E22" s="86" t="s">
        <v>358</v>
      </c>
      <c r="F22" s="82"/>
    </row>
    <row outlineLevel="1" r="23">
      <c r="A23" s="88" t="s">
        <v>359</v>
      </c>
      <c r="B23" s="88" t="s">
        <v>360</v>
      </c>
      <c r="C23" s="88" t="s">
        <v>361</v>
      </c>
      <c r="D23" s="88" t="s">
        <v>362</v>
      </c>
      <c r="E23" s="88" t="s">
        <v>363</v>
      </c>
      <c r="F23" s="82"/>
    </row>
    <row customHeight="true" ht="18" outlineLevel="1" r="24">
      <c r="A24" s="82"/>
      <c r="B24" s="82"/>
      <c r="C24" s="82"/>
      <c r="D24" s="82"/>
      <c r="E24" s="82"/>
    </row>
    <row outlineLevel="1" r="25">
      <c r="A25" s="81" t="s">
        <v>364</v>
      </c>
    </row>
    <row outlineLevel="1" r="26">
      <c r="A26" s="93" t="s">
        <v>365</v>
      </c>
    </row>
  </sheetData>
  <mergeCells>
    <mergeCell ref="A8:F8"/>
    <mergeCell ref="A13:C13"/>
    <mergeCell ref="A7:E7"/>
    <mergeCell ref="E2:E4"/>
    <mergeCell ref="A21:E21"/>
  </mergeCell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5"/>
    <col collapsed="false" customWidth="true" hidden="false" max="2" min="2" style="0" width="30"/>
    <col collapsed="false" customWidth="true" hidden="false" max="3" min="3" style="0" width="12"/>
  </cols>
  <sheetData>
    <row r="1">
      <c r="A1" s="94" t="s">
        <v>366</v>
      </c>
      <c r="B1" s="95" t="s">
        <v>367</v>
      </c>
      <c r="C1" s="95" t="s">
        <v>368</v>
      </c>
      <c r="D1" s="96" t="s">
        <v>369</v>
      </c>
    </row>
    <row r="2">
      <c r="A2" s="97">
        <v>1</v>
      </c>
      <c r="B2" s="98" t="s">
        <v>370</v>
      </c>
      <c r="C2" s="99" t="s">
        <v>371</v>
      </c>
      <c r="D2" s="100"/>
    </row>
    <row r="3">
      <c r="A3" s="97">
        <v>2</v>
      </c>
      <c r="B3" s="98" t="s">
        <v>372</v>
      </c>
      <c r="C3" s="99" t="s">
        <v>371</v>
      </c>
      <c r="D3" s="100"/>
    </row>
    <row r="4">
      <c r="A4" s="97">
        <v>3</v>
      </c>
      <c r="B4" s="98" t="s">
        <v>373</v>
      </c>
      <c r="C4" s="99" t="s">
        <v>371</v>
      </c>
      <c r="D4" s="100"/>
    </row>
    <row r="5">
      <c r="A5" s="97">
        <v>4</v>
      </c>
      <c r="B5" s="98" t="s">
        <v>374</v>
      </c>
      <c r="C5" s="99" t="s">
        <v>371</v>
      </c>
      <c r="D5" s="100"/>
    </row>
    <row r="6">
      <c r="A6" s="97">
        <v>5</v>
      </c>
      <c r="B6" s="98" t="s">
        <v>375</v>
      </c>
      <c r="C6" s="99" t="s">
        <v>371</v>
      </c>
      <c r="D6" s="100"/>
    </row>
    <row r="7">
      <c r="A7" s="97">
        <v>6</v>
      </c>
      <c r="B7" s="98" t="s">
        <v>376</v>
      </c>
      <c r="C7" s="99" t="s">
        <v>371</v>
      </c>
      <c r="D7" s="100"/>
    </row>
    <row r="8">
      <c r="A8" s="97">
        <v>7</v>
      </c>
      <c r="B8" s="98" t="s">
        <v>377</v>
      </c>
      <c r="C8" s="99" t="s">
        <v>378</v>
      </c>
      <c r="D8" s="100"/>
    </row>
    <row r="9">
      <c r="A9" s="97">
        <v>8</v>
      </c>
      <c r="B9" s="98" t="s">
        <v>379</v>
      </c>
      <c r="C9" s="99" t="s">
        <v>378</v>
      </c>
      <c r="D9" s="100"/>
    </row>
    <row r="10">
      <c r="A10" s="97">
        <v>9</v>
      </c>
      <c r="B10" s="98" t="s">
        <v>380</v>
      </c>
      <c r="C10" s="99" t="s">
        <v>378</v>
      </c>
      <c r="D10" s="100"/>
    </row>
    <row r="11">
      <c r="A11" s="97">
        <v>10</v>
      </c>
      <c r="B11" s="98" t="s">
        <v>381</v>
      </c>
      <c r="C11" s="99" t="s">
        <v>378</v>
      </c>
      <c r="D11" s="100"/>
    </row>
    <row r="12">
      <c r="A12" s="97">
        <v>11</v>
      </c>
      <c r="B12" s="98" t="s">
        <v>382</v>
      </c>
      <c r="C12" s="99" t="s">
        <v>378</v>
      </c>
      <c r="D12" s="100"/>
    </row>
    <row r="13">
      <c r="A13" s="97">
        <v>12</v>
      </c>
      <c r="B13" s="98" t="s">
        <v>383</v>
      </c>
      <c r="C13" s="99" t="s">
        <v>371</v>
      </c>
      <c r="D13" s="100"/>
    </row>
    <row r="14">
      <c r="A14" s="97">
        <v>13</v>
      </c>
      <c r="B14" s="98" t="s">
        <v>384</v>
      </c>
      <c r="C14" s="99" t="s">
        <v>378</v>
      </c>
      <c r="D14" s="100"/>
    </row>
    <row r="15">
      <c r="A15" s="101">
        <v>14</v>
      </c>
      <c r="B15" s="98" t="s">
        <v>385</v>
      </c>
      <c r="C15" s="99" t="s">
        <v>371</v>
      </c>
      <c r="D15" s="100"/>
    </row>
    <row r="16">
      <c r="A16" s="100"/>
      <c r="B16" s="100"/>
      <c r="C16" s="100"/>
    </row>
  </sheetData>
  <dataValidations count="1">
    <dataValidation allowBlank="true" errorStyle="stop" showErrorMessage="true" sqref="C2:C15" type="list">
      <formula1>"Đã chụp,Chưa chụp,Đăng retouch,Đợi"</formula1>
    </dataValidation>
  </dataValidation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3" min="3" style="0" width="33"/>
    <col collapsed="false" customWidth="true" hidden="false" max="4" min="4" style="0" width="20"/>
    <col collapsed="false" customWidth="true" hidden="false" max="6" min="6" style="0" width="20"/>
    <col collapsed="false" customWidth="true" hidden="false" max="7" min="7" style="0" width="19"/>
    <col collapsed="false" customWidth="true" hidden="false" max="1" min="1" style="0" width="3"/>
    <col collapsed="false" customWidth="true" hidden="false" max="2" min="2" style="0" width="22"/>
  </cols>
  <sheetData>
    <row r="1">
      <c r="A1" s="102"/>
      <c r="B1" s="103" t="s">
        <v>386</v>
      </c>
      <c r="C1" s="103" t="s">
        <v>387</v>
      </c>
      <c r="D1" s="104" t="s">
        <v>388</v>
      </c>
      <c r="E1" s="103" t="s">
        <v>389</v>
      </c>
      <c r="F1" s="105" t="s">
        <v>390</v>
      </c>
      <c r="G1" s="103" t="s">
        <v>391</v>
      </c>
    </row>
    <row r="2">
      <c r="A2" s="102"/>
      <c r="B2" s="106" t="s">
        <v>392</v>
      </c>
      <c r="C2" s="106" t="s">
        <v>393</v>
      </c>
      <c r="D2" s="107">
        <v>70000000</v>
      </c>
      <c r="E2" s="108">
        <v>1</v>
      </c>
      <c r="F2" s="109">
        <v>70000000</v>
      </c>
      <c r="G2" s="110"/>
    </row>
    <row r="3">
      <c r="A3" s="102"/>
      <c r="B3" s="106" t="s">
        <v>394</v>
      </c>
      <c r="C3" s="106" t="s">
        <v>393</v>
      </c>
      <c r="D3" s="107">
        <v>150000000</v>
      </c>
      <c r="E3" s="108">
        <v>1</v>
      </c>
      <c r="F3" s="111">
        <v>180000000</v>
      </c>
      <c r="G3" s="110"/>
    </row>
    <row r="4">
      <c r="A4" s="102"/>
      <c r="B4" s="106" t="s">
        <v>395</v>
      </c>
      <c r="C4" s="106" t="s">
        <v>393</v>
      </c>
      <c r="D4" s="112">
        <v>10000000</v>
      </c>
      <c r="E4" s="108">
        <v>1</v>
      </c>
      <c r="F4" s="111">
        <v>10000000</v>
      </c>
      <c r="G4" s="110"/>
    </row>
    <row r="5">
      <c r="A5" s="102"/>
      <c r="B5" s="106" t="s">
        <v>396</v>
      </c>
      <c r="C5" s="113"/>
      <c r="D5" s="107">
        <v>5000000</v>
      </c>
      <c r="E5" s="108">
        <v>1</v>
      </c>
      <c r="F5" s="109">
        <v>5000000</v>
      </c>
      <c r="G5" s="110"/>
    </row>
    <row r="6">
      <c r="A6" s="102"/>
      <c r="B6" s="106" t="s">
        <v>397</v>
      </c>
      <c r="C6" s="110"/>
      <c r="D6" s="107">
        <v>50000</v>
      </c>
      <c r="E6" s="108">
        <v>10</v>
      </c>
      <c r="F6" s="109">
        <v>500000</v>
      </c>
      <c r="G6" s="110"/>
    </row>
    <row r="7">
      <c r="A7" s="102"/>
      <c r="B7" s="106" t="s">
        <v>398</v>
      </c>
      <c r="C7" s="110"/>
      <c r="D7" s="107">
        <v>200000</v>
      </c>
      <c r="E7" s="108">
        <v>9</v>
      </c>
      <c r="F7" s="109">
        <v>1800000</v>
      </c>
      <c r="G7" s="110"/>
    </row>
    <row r="8">
      <c r="A8" s="102"/>
      <c r="B8" s="106" t="s">
        <v>399</v>
      </c>
      <c r="C8" s="110"/>
      <c r="D8" s="107">
        <v>185000</v>
      </c>
      <c r="E8" s="108">
        <v>9</v>
      </c>
      <c r="F8" s="109">
        <v>1665000</v>
      </c>
      <c r="G8" s="110"/>
    </row>
    <row r="9">
      <c r="A9" s="102"/>
      <c r="B9" s="106" t="s">
        <v>400</v>
      </c>
      <c r="C9" s="106" t="s">
        <v>401</v>
      </c>
      <c r="D9" s="114">
        <v>700</v>
      </c>
      <c r="E9" s="108">
        <v>100</v>
      </c>
      <c r="F9" s="109">
        <v>70000</v>
      </c>
      <c r="G9" s="110"/>
    </row>
    <row r="10">
      <c r="A10" s="102"/>
      <c r="B10" s="106" t="s">
        <v>402</v>
      </c>
      <c r="C10" s="113"/>
      <c r="D10" s="114">
        <v>700</v>
      </c>
      <c r="E10" s="108">
        <v>100</v>
      </c>
      <c r="F10" s="109">
        <v>70000</v>
      </c>
      <c r="G10" s="110"/>
    </row>
    <row r="11">
      <c r="A11" s="102"/>
      <c r="B11" s="106" t="s">
        <v>403</v>
      </c>
      <c r="C11" s="106" t="s">
        <v>404</v>
      </c>
      <c r="D11" s="114">
        <v>200000</v>
      </c>
      <c r="E11" s="108">
        <v>2</v>
      </c>
      <c r="F11" s="109">
        <v>400000</v>
      </c>
      <c r="G11" s="110"/>
    </row>
    <row r="12">
      <c r="A12" s="102"/>
      <c r="B12" s="115" t="s">
        <v>405</v>
      </c>
      <c r="C12" s="115"/>
      <c r="D12" s="115"/>
      <c r="E12" s="115"/>
      <c r="F12" s="116">
        <f>SUM(F2:F11)</f>
      </c>
      <c r="G12" s="110"/>
    </row>
  </sheetData>
  <mergeCells>
    <mergeCell ref="B12:E1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